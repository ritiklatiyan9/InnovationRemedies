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X46" i="1" l="1"/>
  <c r="L46" i="1"/>
  <c r="M46" i="1" s="1"/>
  <c r="BX45" i="1"/>
  <c r="L45" i="1"/>
  <c r="M45" i="1" s="1"/>
  <c r="BX44" i="1"/>
  <c r="L44" i="1"/>
  <c r="M44" i="1" s="1"/>
  <c r="BX43" i="1"/>
  <c r="L43" i="1"/>
  <c r="M43" i="1" s="1"/>
  <c r="BX42" i="1"/>
  <c r="L42" i="1"/>
  <c r="M42" i="1" s="1"/>
  <c r="BX41" i="1"/>
  <c r="L41" i="1"/>
  <c r="M41" i="1" s="1"/>
  <c r="BX40" i="1"/>
  <c r="L40" i="1"/>
  <c r="M40" i="1" s="1"/>
  <c r="BX39" i="1"/>
  <c r="L39" i="1"/>
  <c r="M39" i="1" s="1"/>
  <c r="K39" i="1" s="1"/>
  <c r="BX38" i="1"/>
  <c r="L38" i="1"/>
  <c r="M38" i="1" s="1"/>
  <c r="BX37" i="1"/>
  <c r="L37" i="1"/>
  <c r="M37" i="1" s="1"/>
  <c r="BX36" i="1"/>
  <c r="L36" i="1"/>
  <c r="M36" i="1" s="1"/>
  <c r="BX35" i="1"/>
  <c r="L35" i="1"/>
  <c r="M35" i="1" s="1"/>
  <c r="BX34" i="1"/>
  <c r="L34" i="1"/>
  <c r="M34" i="1" s="1"/>
  <c r="BX33" i="1"/>
  <c r="L33" i="1"/>
  <c r="M33" i="1" s="1"/>
  <c r="BX32" i="1"/>
  <c r="L32" i="1"/>
  <c r="M32" i="1" s="1"/>
  <c r="K32" i="1" s="1"/>
  <c r="BX31" i="1"/>
  <c r="L31" i="1"/>
  <c r="M31" i="1" s="1"/>
  <c r="BX30" i="1"/>
  <c r="L30" i="1"/>
  <c r="M30" i="1" s="1"/>
  <c r="BX29" i="1"/>
  <c r="L29" i="1"/>
  <c r="M29" i="1" s="1"/>
  <c r="BX28" i="1"/>
  <c r="L28" i="1"/>
  <c r="M28" i="1" s="1"/>
  <c r="BX27" i="1"/>
  <c r="BX26" i="1"/>
  <c r="L26" i="1"/>
  <c r="M26" i="1" s="1"/>
  <c r="BX25" i="1"/>
  <c r="L25" i="1"/>
  <c r="M25" i="1" s="1"/>
  <c r="K25" i="1" s="1"/>
  <c r="BX24" i="1"/>
  <c r="L24" i="1"/>
  <c r="M24" i="1" s="1"/>
  <c r="BX23" i="1"/>
  <c r="L23" i="1"/>
  <c r="M23" i="1" s="1"/>
  <c r="BX22" i="1"/>
  <c r="L22" i="1"/>
  <c r="M22" i="1" s="1"/>
  <c r="BX21" i="1"/>
  <c r="L21" i="1"/>
  <c r="M21" i="1" s="1"/>
  <c r="BX20" i="1"/>
  <c r="L20" i="1"/>
  <c r="M20" i="1" s="1"/>
  <c r="BY20" i="1" s="1"/>
  <c r="BX19" i="1"/>
  <c r="L19" i="1"/>
  <c r="M19" i="1" s="1"/>
  <c r="BX18" i="1"/>
  <c r="L18" i="1"/>
  <c r="M18" i="1" s="1"/>
  <c r="BX17" i="1"/>
  <c r="L17" i="1"/>
  <c r="M17" i="1" s="1"/>
  <c r="BX16" i="1"/>
  <c r="L16" i="1"/>
  <c r="M16" i="1" s="1"/>
  <c r="BX15" i="1"/>
  <c r="L15" i="1"/>
  <c r="M15" i="1" s="1"/>
  <c r="BX14" i="1"/>
  <c r="L14" i="1"/>
  <c r="M14" i="1" s="1"/>
  <c r="BX13" i="1"/>
  <c r="L13" i="1"/>
  <c r="M13" i="1" s="1"/>
  <c r="BX12" i="1"/>
  <c r="L12" i="1"/>
  <c r="M12" i="1" s="1"/>
  <c r="BX11" i="1"/>
  <c r="L11" i="1"/>
  <c r="M11" i="1" s="1"/>
  <c r="BX10" i="1"/>
  <c r="L10" i="1"/>
  <c r="M10" i="1" s="1"/>
  <c r="BX9" i="1"/>
  <c r="L9" i="1"/>
  <c r="M9" i="1" s="1"/>
  <c r="BX8" i="1"/>
  <c r="L8" i="1"/>
  <c r="M8" i="1" s="1"/>
  <c r="BY8" i="1" s="1"/>
  <c r="BX7" i="1"/>
  <c r="L7" i="1"/>
  <c r="M7" i="1" s="1"/>
  <c r="BX6" i="1"/>
  <c r="L6" i="1"/>
  <c r="M6" i="1" s="1"/>
  <c r="BX5" i="1"/>
  <c r="L5" i="1"/>
  <c r="M5" i="1" s="1"/>
  <c r="BX4" i="1"/>
  <c r="L4" i="1"/>
  <c r="M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BX3" i="1"/>
  <c r="L3" i="1"/>
  <c r="M3" i="1" s="1"/>
  <c r="L27" i="1" l="1"/>
  <c r="M27" i="1" s="1"/>
  <c r="K27" i="1" s="1"/>
  <c r="K35" i="1"/>
  <c r="BZ35" i="1"/>
  <c r="BY35" i="1"/>
  <c r="K13" i="1"/>
  <c r="BZ13" i="1"/>
  <c r="BY13" i="1"/>
  <c r="K37" i="1"/>
  <c r="BY37" i="1"/>
  <c r="BZ37" i="1"/>
  <c r="BZ9" i="1"/>
  <c r="K9" i="1"/>
  <c r="BZ21" i="1"/>
  <c r="K21" i="1"/>
  <c r="K44" i="1"/>
  <c r="BY44" i="1"/>
  <c r="BZ33" i="1"/>
  <c r="K33" i="1"/>
  <c r="BZ23" i="1"/>
  <c r="BY23" i="1"/>
  <c r="K23" i="1"/>
  <c r="BZ11" i="1"/>
  <c r="BY11" i="1"/>
  <c r="K11" i="1"/>
  <c r="BY25" i="1"/>
  <c r="BZ25" i="1"/>
  <c r="BZ28" i="1"/>
  <c r="BY28" i="1"/>
  <c r="K28" i="1"/>
  <c r="K46" i="1"/>
  <c r="BZ46" i="1"/>
  <c r="BY46" i="1"/>
  <c r="BZ16" i="1"/>
  <c r="BY16" i="1"/>
  <c r="K16" i="1"/>
  <c r="BZ4" i="1"/>
  <c r="BY4" i="1"/>
  <c r="K4" i="1"/>
  <c r="K12" i="1"/>
  <c r="BZ12" i="1"/>
  <c r="BY12" i="1"/>
  <c r="K29" i="1"/>
  <c r="BY29" i="1"/>
  <c r="BZ29" i="1"/>
  <c r="BY42" i="1"/>
  <c r="K42" i="1"/>
  <c r="BZ42" i="1"/>
  <c r="K15" i="1"/>
  <c r="BZ15" i="1"/>
  <c r="BY15" i="1"/>
  <c r="K41" i="1"/>
  <c r="BY41" i="1"/>
  <c r="BZ41" i="1"/>
  <c r="BY5" i="1"/>
  <c r="K5" i="1"/>
  <c r="BZ5" i="1"/>
  <c r="BY18" i="1"/>
  <c r="K18" i="1"/>
  <c r="BZ18" i="1"/>
  <c r="K10" i="1"/>
  <c r="BZ10" i="1"/>
  <c r="BY10" i="1"/>
  <c r="K22" i="1"/>
  <c r="BZ22" i="1"/>
  <c r="BY22" i="1"/>
  <c r="BZ38" i="1"/>
  <c r="BY38" i="1"/>
  <c r="K38" i="1"/>
  <c r="BY17" i="1"/>
  <c r="K17" i="1"/>
  <c r="BZ17" i="1"/>
  <c r="BY30" i="1"/>
  <c r="K30" i="1"/>
  <c r="BZ30" i="1"/>
  <c r="K43" i="1"/>
  <c r="BZ43" i="1"/>
  <c r="BY43" i="1"/>
  <c r="BZ31" i="1"/>
  <c r="BY31" i="1"/>
  <c r="K31" i="1"/>
  <c r="BZ6" i="1"/>
  <c r="BY6" i="1"/>
  <c r="K6" i="1"/>
  <c r="BZ19" i="1"/>
  <c r="BY19" i="1"/>
  <c r="K19" i="1"/>
  <c r="BZ26" i="1"/>
  <c r="BY26" i="1"/>
  <c r="K26" i="1"/>
  <c r="K3" i="1"/>
  <c r="BZ3" i="1"/>
  <c r="BY3" i="1"/>
  <c r="BZ24" i="1"/>
  <c r="K24" i="1"/>
  <c r="BY24" i="1"/>
  <c r="K34" i="1"/>
  <c r="BZ34" i="1"/>
  <c r="BY34" i="1"/>
  <c r="BZ7" i="1"/>
  <c r="BY7" i="1"/>
  <c r="K7" i="1"/>
  <c r="BZ14" i="1"/>
  <c r="BY14" i="1"/>
  <c r="K14" i="1"/>
  <c r="BZ36" i="1"/>
  <c r="BY36" i="1"/>
  <c r="K36" i="1"/>
  <c r="BZ40" i="1"/>
  <c r="BY40" i="1"/>
  <c r="K40" i="1"/>
  <c r="BZ45" i="1"/>
  <c r="BY45" i="1"/>
  <c r="K45" i="1"/>
  <c r="BZ8" i="1"/>
  <c r="BZ20" i="1"/>
  <c r="BZ39" i="1"/>
  <c r="BY27" i="1"/>
  <c r="BZ32" i="1"/>
  <c r="BY32" i="1"/>
  <c r="BZ44" i="1"/>
  <c r="BZ27" i="1"/>
  <c r="BY9" i="1"/>
  <c r="BY21" i="1"/>
  <c r="BY33" i="1"/>
  <c r="BY39" i="1"/>
  <c r="K8" i="1"/>
  <c r="K20" i="1"/>
  <c r="BY1" i="1" l="1"/>
</calcChain>
</file>

<file path=xl/comments1.xml><?xml version="1.0" encoding="utf-8"?>
<comments xmlns="http://schemas.openxmlformats.org/spreadsheetml/2006/main">
  <authors>
    <author>Author</author>
  </authors>
  <commentList>
    <comment ref="O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 &amp; jointing</t>
        </r>
      </text>
    </comment>
    <comment ref="Q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6nos guting</t>
        </r>
      </text>
    </comment>
    <comment ref="S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 gi fixing
</t>
        </r>
      </text>
    </comment>
    <comment ref="AA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
</t>
        </r>
      </text>
    </comment>
    <comment ref="A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
</t>
        </r>
      </text>
    </comment>
    <comment ref="AE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
</t>
        </r>
      </text>
    </comment>
    <comment ref="AI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 nos gi fixing</t>
        </r>
      </text>
    </comment>
    <comment ref="B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
</t>
        </r>
      </text>
    </comment>
    <comment ref="BE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
</t>
        </r>
      </text>
    </comment>
    <comment ref="BI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
</t>
        </r>
      </text>
    </comment>
    <comment ref="BK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 fixing
</t>
        </r>
      </text>
    </comment>
    <comment ref="AU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7 nos grauting
</t>
        </r>
      </text>
    </comment>
    <comment ref="AW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5 nos grauting
</t>
        </r>
      </text>
    </comment>
    <comment ref="AC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grauting</t>
        </r>
      </text>
    </comment>
  </commentList>
</comments>
</file>

<file path=xl/sharedStrings.xml><?xml version="1.0" encoding="utf-8"?>
<sst xmlns="http://schemas.openxmlformats.org/spreadsheetml/2006/main" count="334" uniqueCount="106">
  <si>
    <t>S. No</t>
  </si>
  <si>
    <t>Scheme ID</t>
  </si>
  <si>
    <t xml:space="preserve">Block </t>
  </si>
  <si>
    <t>GP</t>
  </si>
  <si>
    <t>Vendor Name</t>
  </si>
  <si>
    <t>Staff Name</t>
  </si>
  <si>
    <t>DPM Name</t>
  </si>
  <si>
    <t>Stand Post Status</t>
  </si>
  <si>
    <t>Total Scope</t>
  </si>
  <si>
    <t>FHTC Till March-25</t>
  </si>
  <si>
    <t>Balance</t>
  </si>
  <si>
    <t>FHTC in April-25</t>
  </si>
  <si>
    <t>Cummulative Done as on Date</t>
  </si>
  <si>
    <t>Labour</t>
  </si>
  <si>
    <t>QTY</t>
  </si>
  <si>
    <t>Labour Count</t>
  </si>
  <si>
    <t>% Progress</t>
  </si>
  <si>
    <t>Remarks</t>
  </si>
  <si>
    <t>SHOHRATGARH</t>
  </si>
  <si>
    <t>AGYA</t>
  </si>
  <si>
    <t>RITIKA ENTERPRISES</t>
  </si>
  <si>
    <t>Sandeep</t>
  </si>
  <si>
    <t>ASHOK SINGH</t>
  </si>
  <si>
    <t>ALIDAPUR</t>
  </si>
  <si>
    <t>Maa Sharda Construction</t>
  </si>
  <si>
    <t>PRAVESH</t>
  </si>
  <si>
    <t>BELAWA NAUGHARH</t>
  </si>
  <si>
    <t>GANGA TRADING COMPANY</t>
  </si>
  <si>
    <t>Pravesh</t>
  </si>
  <si>
    <t>BUDAPAR</t>
  </si>
  <si>
    <t>ANJALI ENTERPRISES</t>
  </si>
  <si>
    <t>SAURABH</t>
  </si>
  <si>
    <t>CHONAR</t>
  </si>
  <si>
    <t>RISHIKA CONSTRUCTION/CHAUHAN TRADERS</t>
  </si>
  <si>
    <t>VIJENDRA</t>
  </si>
  <si>
    <t>BARHNI</t>
  </si>
  <si>
    <t>DHANUARA BUZURG</t>
  </si>
  <si>
    <t>Puspendu</t>
  </si>
  <si>
    <t>DHEBARUA</t>
  </si>
  <si>
    <t>CHAUHAN TREDERS</t>
  </si>
  <si>
    <t>DOHARIYA KHURD</t>
  </si>
  <si>
    <t>DUDHAWANIYA BUZURG</t>
  </si>
  <si>
    <t>CK TILES</t>
  </si>
  <si>
    <t>GHARUAR</t>
  </si>
  <si>
    <t>GOLHAURA MUSTAHAKAM</t>
  </si>
  <si>
    <t>RITIKA ENTERPRISES/PARAMHASA</t>
  </si>
  <si>
    <t>JHARUA</t>
  </si>
  <si>
    <t>PARAMASHA/AARVI CONSTRUCTION</t>
  </si>
  <si>
    <t>JUGDIHWA</t>
  </si>
  <si>
    <t>PARAMASHA</t>
  </si>
  <si>
    <t>KAPIYA GRANT</t>
  </si>
  <si>
    <t>R.G.S CONSTRUCTIONS</t>
  </si>
  <si>
    <t>KAUWA</t>
  </si>
  <si>
    <t>BALAJI TRADERS</t>
  </si>
  <si>
    <t>KHAIRA GP AND BAIDAULI</t>
  </si>
  <si>
    <t>UPADHYAY</t>
  </si>
  <si>
    <t>KHAJURIYA SHARKI</t>
  </si>
  <si>
    <t>DHARMA ENTERPRISES</t>
  </si>
  <si>
    <t>KHAR GANWAR</t>
  </si>
  <si>
    <t>TRIVENI</t>
  </si>
  <si>
    <t>KHUNUWA &amp; YAD MUSTKAHAM</t>
  </si>
  <si>
    <t>RGS CONSTRUCTION/YADAV CONSTRUCTION</t>
  </si>
  <si>
    <t>KOTIYA DIGAR</t>
  </si>
  <si>
    <t>SATYAM</t>
  </si>
  <si>
    <t>LEDAWA</t>
  </si>
  <si>
    <t>ALOK CONSTRUCTION</t>
  </si>
  <si>
    <t>MADAWA</t>
  </si>
  <si>
    <t>Jai maa sati/YADAV CONSTRUCTION</t>
  </si>
  <si>
    <t>MAHALI</t>
  </si>
  <si>
    <t>SUKURUTI ASSOCIATES</t>
  </si>
  <si>
    <t>MAHATHA</t>
  </si>
  <si>
    <t>KUNG Enterprises</t>
  </si>
  <si>
    <t>MALAGAHIYA</t>
  </si>
  <si>
    <t>Aarvi Enterprises</t>
  </si>
  <si>
    <t>MEHANAULI</t>
  </si>
  <si>
    <t>SHAKUNTALA CONSTRUCTIONS</t>
  </si>
  <si>
    <t>MUDILA BUZURG</t>
  </si>
  <si>
    <t>RGS/ANJALI ENTERPRISES</t>
  </si>
  <si>
    <t>MUDILA KHURD</t>
  </si>
  <si>
    <t>BALAJI</t>
  </si>
  <si>
    <t>NIYAW &amp; BABHANI</t>
  </si>
  <si>
    <t>PAKADIHAWA &amp; PATHAR</t>
  </si>
  <si>
    <t xml:space="preserve">PAKDI </t>
  </si>
  <si>
    <t>ITWA</t>
  </si>
  <si>
    <t>PAKDI PATHAN</t>
  </si>
  <si>
    <t>RATANA ENTERPRISES/ANJALI</t>
  </si>
  <si>
    <t>PARASIYA &amp; DAHIYANA</t>
  </si>
  <si>
    <t>PARASOIYA &amp; PARSA DIWAN</t>
  </si>
  <si>
    <t>PARIGAWA</t>
  </si>
  <si>
    <t>PARSOHIYA NANKAR  &amp; NIBI</t>
  </si>
  <si>
    <t>RISHIKA CONSTRUCTION</t>
  </si>
  <si>
    <t>RAMWAPUR TIWARi</t>
  </si>
  <si>
    <t>JOGIA KHAS</t>
  </si>
  <si>
    <t>SEHUDA</t>
  </si>
  <si>
    <t>DIXIT ROAD CARRIERS</t>
  </si>
  <si>
    <t>NAUGHAR</t>
  </si>
  <si>
    <t>SIRWAT &amp; Paliya Tek</t>
  </si>
  <si>
    <t>SISWA BUZURG</t>
  </si>
  <si>
    <t>ALI ENTERPRISES</t>
  </si>
  <si>
    <t>SIYAW NANKAR</t>
  </si>
  <si>
    <t>SURAJ KUNDIYA</t>
  </si>
  <si>
    <t>R.G.S/SAURABH AUTO MOBILE CONSTRUCTIONS</t>
  </si>
  <si>
    <t>TADIYA</t>
  </si>
  <si>
    <t>TAULHIWA</t>
  </si>
  <si>
    <t>V.K CONSTRUCTIONS</t>
  </si>
  <si>
    <t>wefewf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</si>
</sst>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&quot;Nos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Times New Roman"/>
      <family val="1"/>
    </font>
    <font>
      <sz val="10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Times New Roman"/>
      <family val="1"/>
    </font>
    <font>
      <sz val="10"/>
      <color theme="1" tint="0.1499679555650502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" fontId="5" fillId="4" borderId="13" xfId="0" applyNumberFormat="1" applyFont="1" applyFill="1" applyBorder="1" applyAlignment="1">
      <alignment horizontal="center" vertical="center" wrapText="1"/>
    </xf>
    <xf numFmtId="1" fontId="6" fillId="3" borderId="14" xfId="0" applyNumberFormat="1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" fontId="6" fillId="9" borderId="14" xfId="0" applyNumberFormat="1" applyFont="1" applyFill="1" applyBorder="1" applyAlignment="1">
      <alignment horizontal="center" vertical="center" wrapText="1"/>
    </xf>
    <xf numFmtId="1" fontId="6" fillId="3" borderId="16" xfId="0" applyNumberFormat="1" applyFont="1" applyFill="1" applyBorder="1" applyAlignment="1">
      <alignment horizontal="center" vertical="center" wrapText="1"/>
    </xf>
    <xf numFmtId="9" fontId="6" fillId="3" borderId="16" xfId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164" fontId="3" fillId="0" borderId="19" xfId="0" applyNumberFormat="1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1" fontId="5" fillId="4" borderId="21" xfId="0" applyNumberFormat="1" applyFont="1" applyFill="1" applyBorder="1" applyAlignment="1">
      <alignment horizontal="center" vertical="center" wrapText="1"/>
    </xf>
    <xf numFmtId="1" fontId="6" fillId="3" borderId="22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1" fontId="6" fillId="9" borderId="22" xfId="0" applyNumberFormat="1" applyFont="1" applyFill="1" applyBorder="1" applyAlignment="1">
      <alignment horizontal="center" vertical="center" wrapText="1"/>
    </xf>
    <xf numFmtId="1" fontId="6" fillId="3" borderId="24" xfId="0" applyNumberFormat="1" applyFont="1" applyFill="1" applyBorder="1" applyAlignment="1">
      <alignment horizontal="center" vertical="center" wrapText="1"/>
    </xf>
    <xf numFmtId="9" fontId="6" fillId="3" borderId="24" xfId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3" fillId="10" borderId="1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6" fillId="3" borderId="26" xfId="1" applyFont="1" applyFill="1" applyBorder="1" applyAlignment="1">
      <alignment horizontal="center" vertical="center" wrapText="1"/>
    </xf>
    <xf numFmtId="9" fontId="6" fillId="3" borderId="17" xfId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 wrapText="1"/>
    </xf>
    <xf numFmtId="164" fontId="3" fillId="0" borderId="25" xfId="0" applyNumberFormat="1" applyFont="1" applyBorder="1" applyAlignment="1">
      <alignment horizontal="center" vertical="center" wrapText="1"/>
    </xf>
    <xf numFmtId="164" fontId="3" fillId="0" borderId="28" xfId="0" applyNumberFormat="1" applyFont="1" applyBorder="1" applyAlignment="1">
      <alignment horizontal="center" vertical="center" wrapText="1"/>
    </xf>
    <xf numFmtId="1" fontId="5" fillId="4" borderId="29" xfId="0" applyNumberFormat="1" applyFont="1" applyFill="1" applyBorder="1" applyAlignment="1">
      <alignment horizontal="center" vertical="center" wrapText="1"/>
    </xf>
    <xf numFmtId="1" fontId="6" fillId="3" borderId="30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1" fontId="6" fillId="9" borderId="30" xfId="0" applyNumberFormat="1" applyFont="1" applyFill="1" applyBorder="1" applyAlignment="1">
      <alignment horizontal="center" vertical="center" wrapText="1"/>
    </xf>
    <xf numFmtId="1" fontId="6" fillId="3" borderId="26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15" fontId="3" fillId="0" borderId="6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A54"/>
  <sheetViews>
    <sheetView tabSelected="1" topLeftCell="AX5" workbookViewId="0">
      <selection activeCell="CA30" sqref="CA30"/>
    </sheetView>
  </sheetViews>
  <sheetFormatPr defaultColWidth="9" defaultRowHeight="14.4" x14ac:dyDescent="0.3"/>
  <cols>
    <col min="1" max="1" width="9.33203125" style="2" hidden="1" customWidth="1"/>
    <col min="2" max="2" width="9.109375" style="2" bestFit="1" customWidth="1"/>
    <col min="3" max="3" width="12.5546875" style="2" bestFit="1" customWidth="1"/>
    <col min="4" max="4" width="25.5546875" style="2" bestFit="1" customWidth="1"/>
    <col min="5" max="5" width="38.33203125" style="2" bestFit="1" customWidth="1"/>
    <col min="6" max="6" width="17" style="2" bestFit="1" customWidth="1"/>
    <col min="7" max="7" width="13.6640625" style="2" customWidth="1"/>
    <col min="8" max="8" width="8.6640625" style="2" customWidth="1"/>
    <col min="9" max="9" width="12.44140625" style="2" customWidth="1"/>
    <col min="10" max="10" width="8.6640625" style="2" customWidth="1"/>
    <col min="11" max="11" width="9.88671875" style="2" customWidth="1"/>
    <col min="12" max="12" width="6.88671875" style="2" customWidth="1"/>
    <col min="13" max="13" width="9.88671875" style="2" customWidth="1"/>
    <col min="14" max="19" width="7.5546875" style="2" customWidth="1"/>
    <col min="20" max="20" width="5.5546875" style="2" customWidth="1"/>
    <col min="21" max="21" width="12.44140625" style="2" customWidth="1"/>
    <col min="22" max="36" width="7.5546875" style="2" customWidth="1"/>
    <col min="37" max="37" width="9.88671875" style="2" customWidth="1"/>
    <col min="38" max="38" width="7.88671875" style="2" customWidth="1"/>
    <col min="39" max="39" width="3.5546875" style="2" customWidth="1"/>
    <col min="40" max="40" width="5.5546875" style="2" customWidth="1"/>
    <col min="41" max="41" width="3.5546875" style="2" customWidth="1"/>
    <col min="42" max="48" width="7.5546875" style="2" customWidth="1"/>
    <col min="49" max="49" width="8.109375" style="2" customWidth="1"/>
    <col min="50" max="50" width="5.5546875" style="2" customWidth="1"/>
    <col min="51" max="51" width="6.109375" style="2" customWidth="1"/>
    <col min="52" max="52" width="5.5546875" style="2" customWidth="1"/>
    <col min="53" max="53" width="3.88671875" style="2" customWidth="1"/>
    <col min="54" max="54" width="9.5546875" style="2" customWidth="1"/>
    <col min="55" max="55" width="8.44140625" style="2" customWidth="1"/>
    <col min="56" max="56" width="5.5546875" style="2" customWidth="1"/>
    <col min="57" max="57" width="5" style="2" customWidth="1"/>
    <col min="58" max="58" width="5.5546875" style="2" customWidth="1"/>
    <col min="59" max="59" width="4.88671875" style="2" customWidth="1"/>
    <col min="60" max="60" width="7.5546875" style="2" customWidth="1"/>
    <col min="61" max="61" width="11.5546875" style="2" customWidth="1"/>
    <col min="62" max="70" width="7.5546875" style="2" customWidth="1"/>
    <col min="71" max="71" width="8.109375" style="2" customWidth="1"/>
    <col min="72" max="72" width="5.5546875" style="2" customWidth="1"/>
    <col min="73" max="73" width="7.109375" style="2" customWidth="1"/>
    <col min="74" max="74" width="5.5546875" style="2" hidden="1" customWidth="1"/>
    <col min="75" max="75" width="3.5546875" style="2" hidden="1" customWidth="1"/>
    <col min="76" max="78" width="7.33203125" style="2" customWidth="1"/>
    <col min="79" max="79" width="15.6640625" style="2" customWidth="1"/>
    <col min="80" max="16384" width="9" style="2"/>
  </cols>
  <sheetData>
    <row r="1" spans="1:79" ht="15" thickBot="1" x14ac:dyDescent="0.35">
      <c r="A1" s="3"/>
      <c r="B1" s="3"/>
      <c r="C1" s="4"/>
      <c r="D1" s="5"/>
      <c r="E1" s="82"/>
      <c r="F1" s="83"/>
      <c r="G1" s="83"/>
      <c r="H1" s="83"/>
      <c r="I1" s="83"/>
      <c r="J1" s="83"/>
      <c r="K1" s="84"/>
      <c r="L1" s="3"/>
      <c r="M1" s="6"/>
      <c r="N1" s="80">
        <v>45748</v>
      </c>
      <c r="O1" s="81"/>
      <c r="P1" s="80">
        <v>45749</v>
      </c>
      <c r="Q1" s="81"/>
      <c r="R1" s="80">
        <v>45750</v>
      </c>
      <c r="S1" s="81"/>
      <c r="T1" s="80">
        <v>45751</v>
      </c>
      <c r="U1" s="81"/>
      <c r="V1" s="80">
        <v>45752</v>
      </c>
      <c r="W1" s="81"/>
      <c r="X1" s="80">
        <v>45753</v>
      </c>
      <c r="Y1" s="81"/>
      <c r="Z1" s="80">
        <v>45754</v>
      </c>
      <c r="AA1" s="81"/>
      <c r="AB1" s="80">
        <v>45755</v>
      </c>
      <c r="AC1" s="81"/>
      <c r="AD1" s="80">
        <v>45756</v>
      </c>
      <c r="AE1" s="81"/>
      <c r="AF1" s="80">
        <v>45757</v>
      </c>
      <c r="AG1" s="81"/>
      <c r="AH1" s="80">
        <v>45758</v>
      </c>
      <c r="AI1" s="81"/>
      <c r="AJ1" s="80">
        <v>45759</v>
      </c>
      <c r="AK1" s="81"/>
      <c r="AL1" s="80">
        <v>45760</v>
      </c>
      <c r="AM1" s="81"/>
      <c r="AN1" s="80">
        <v>45761</v>
      </c>
      <c r="AO1" s="81"/>
      <c r="AP1" s="80">
        <v>45762</v>
      </c>
      <c r="AQ1" s="81"/>
      <c r="AR1" s="80">
        <v>45763</v>
      </c>
      <c r="AS1" s="81"/>
      <c r="AT1" s="80">
        <v>45764</v>
      </c>
      <c r="AU1" s="81"/>
      <c r="AV1" s="80">
        <v>45765</v>
      </c>
      <c r="AW1" s="81"/>
      <c r="AX1" s="80">
        <v>45766</v>
      </c>
      <c r="AY1" s="81"/>
      <c r="AZ1" s="80">
        <v>45767</v>
      </c>
      <c r="BA1" s="81"/>
      <c r="BB1" s="80">
        <v>45768</v>
      </c>
      <c r="BC1" s="81"/>
      <c r="BD1" s="80">
        <v>45769</v>
      </c>
      <c r="BE1" s="81"/>
      <c r="BF1" s="80">
        <v>45770</v>
      </c>
      <c r="BG1" s="81"/>
      <c r="BH1" s="80">
        <v>45771</v>
      </c>
      <c r="BI1" s="81"/>
      <c r="BJ1" s="80">
        <v>45772</v>
      </c>
      <c r="BK1" s="81"/>
      <c r="BL1" s="80">
        <v>45773</v>
      </c>
      <c r="BM1" s="81"/>
      <c r="BN1" s="80">
        <v>45774</v>
      </c>
      <c r="BO1" s="81"/>
      <c r="BP1" s="80">
        <v>45775</v>
      </c>
      <c r="BQ1" s="81"/>
      <c r="BR1" s="80">
        <v>45776</v>
      </c>
      <c r="BS1" s="81"/>
      <c r="BT1" s="80">
        <v>45777</v>
      </c>
      <c r="BU1" s="81"/>
      <c r="BV1" s="80">
        <v>45778</v>
      </c>
      <c r="BW1" s="81"/>
      <c r="BX1" s="6"/>
      <c r="BY1" s="7">
        <f>SUBTOTAL(9,BY3:BY44)</f>
        <v>12088.457627118643</v>
      </c>
      <c r="BZ1" s="8"/>
      <c r="CA1" s="1"/>
    </row>
    <row r="2" spans="1:79" s="18" customFormat="1" ht="36.6" thickBot="1" x14ac:dyDescent="0.35">
      <c r="A2" s="9" t="s">
        <v>0</v>
      </c>
      <c r="B2" s="10" t="s">
        <v>1</v>
      </c>
      <c r="C2" s="9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2" t="s">
        <v>7</v>
      </c>
      <c r="I2" s="11" t="s">
        <v>8</v>
      </c>
      <c r="J2" s="11" t="s">
        <v>9</v>
      </c>
      <c r="K2" s="13" t="s">
        <v>10</v>
      </c>
      <c r="L2" s="14" t="s">
        <v>11</v>
      </c>
      <c r="M2" s="15" t="s">
        <v>12</v>
      </c>
      <c r="N2" s="9" t="s">
        <v>13</v>
      </c>
      <c r="O2" s="11" t="s">
        <v>14</v>
      </c>
      <c r="P2" s="11" t="s">
        <v>13</v>
      </c>
      <c r="Q2" s="11" t="s">
        <v>14</v>
      </c>
      <c r="R2" s="11" t="s">
        <v>13</v>
      </c>
      <c r="S2" s="11" t="s">
        <v>14</v>
      </c>
      <c r="T2" s="11" t="s">
        <v>13</v>
      </c>
      <c r="U2" s="11" t="s">
        <v>14</v>
      </c>
      <c r="V2" s="11" t="s">
        <v>13</v>
      </c>
      <c r="W2" s="11" t="s">
        <v>14</v>
      </c>
      <c r="X2" s="11" t="s">
        <v>13</v>
      </c>
      <c r="Y2" s="11" t="s">
        <v>14</v>
      </c>
      <c r="Z2" s="11" t="s">
        <v>13</v>
      </c>
      <c r="AA2" s="11" t="s">
        <v>14</v>
      </c>
      <c r="AB2" s="11" t="s">
        <v>13</v>
      </c>
      <c r="AC2" s="11" t="s">
        <v>14</v>
      </c>
      <c r="AD2" s="11" t="s">
        <v>13</v>
      </c>
      <c r="AE2" s="11" t="s">
        <v>14</v>
      </c>
      <c r="AF2" s="11" t="s">
        <v>13</v>
      </c>
      <c r="AG2" s="11" t="s">
        <v>14</v>
      </c>
      <c r="AH2" s="11" t="s">
        <v>13</v>
      </c>
      <c r="AI2" s="16" t="s">
        <v>14</v>
      </c>
      <c r="AJ2" s="11" t="s">
        <v>13</v>
      </c>
      <c r="AK2" s="16" t="s">
        <v>14</v>
      </c>
      <c r="AL2" s="11" t="s">
        <v>13</v>
      </c>
      <c r="AM2" s="16" t="s">
        <v>14</v>
      </c>
      <c r="AN2" s="11" t="s">
        <v>13</v>
      </c>
      <c r="AO2" s="16" t="s">
        <v>14</v>
      </c>
      <c r="AP2" s="11" t="s">
        <v>13</v>
      </c>
      <c r="AQ2" s="16" t="s">
        <v>14</v>
      </c>
      <c r="AR2" s="11" t="s">
        <v>13</v>
      </c>
      <c r="AS2" s="16" t="s">
        <v>14</v>
      </c>
      <c r="AT2" s="11" t="s">
        <v>13</v>
      </c>
      <c r="AU2" s="16" t="s">
        <v>14</v>
      </c>
      <c r="AV2" s="11" t="s">
        <v>13</v>
      </c>
      <c r="AW2" s="16" t="s">
        <v>14</v>
      </c>
      <c r="AX2" s="11" t="s">
        <v>13</v>
      </c>
      <c r="AY2" s="16" t="s">
        <v>14</v>
      </c>
      <c r="AZ2" s="11" t="s">
        <v>13</v>
      </c>
      <c r="BA2" s="16" t="s">
        <v>14</v>
      </c>
      <c r="BB2" s="11" t="s">
        <v>13</v>
      </c>
      <c r="BC2" s="16" t="s">
        <v>14</v>
      </c>
      <c r="BD2" s="11" t="s">
        <v>13</v>
      </c>
      <c r="BE2" s="16" t="s">
        <v>14</v>
      </c>
      <c r="BF2" s="11" t="s">
        <v>13</v>
      </c>
      <c r="BG2" s="16" t="s">
        <v>14</v>
      </c>
      <c r="BH2" s="11" t="s">
        <v>13</v>
      </c>
      <c r="BI2" s="16" t="s">
        <v>14</v>
      </c>
      <c r="BJ2" s="11" t="s">
        <v>13</v>
      </c>
      <c r="BK2" s="16" t="s">
        <v>14</v>
      </c>
      <c r="BL2" s="11" t="s">
        <v>13</v>
      </c>
      <c r="BM2" s="16" t="s">
        <v>14</v>
      </c>
      <c r="BN2" s="11" t="s">
        <v>13</v>
      </c>
      <c r="BO2" s="16" t="s">
        <v>14</v>
      </c>
      <c r="BP2" s="11" t="s">
        <v>13</v>
      </c>
      <c r="BQ2" s="16" t="s">
        <v>14</v>
      </c>
      <c r="BR2" s="11" t="s">
        <v>13</v>
      </c>
      <c r="BS2" s="16" t="s">
        <v>14</v>
      </c>
      <c r="BT2" s="11" t="s">
        <v>13</v>
      </c>
      <c r="BU2" s="16" t="s">
        <v>14</v>
      </c>
      <c r="BV2" s="11" t="s">
        <v>13</v>
      </c>
      <c r="BW2" s="16" t="s">
        <v>14</v>
      </c>
      <c r="BX2" s="15" t="s">
        <v>15</v>
      </c>
      <c r="BY2" s="14" t="s">
        <v>10</v>
      </c>
      <c r="BZ2" s="14" t="s">
        <v>16</v>
      </c>
      <c r="CA2" s="17" t="s">
        <v>17</v>
      </c>
    </row>
    <row r="3" spans="1:79" ht="12.9" customHeight="1" thickBot="1" x14ac:dyDescent="0.35">
      <c r="A3" s="19">
        <v>1</v>
      </c>
      <c r="B3" s="20">
        <v>20076581</v>
      </c>
      <c r="C3" s="21" t="s">
        <v>18</v>
      </c>
      <c r="D3" s="22" t="s">
        <v>19</v>
      </c>
      <c r="E3" s="23" t="s">
        <v>20</v>
      </c>
      <c r="F3" s="20" t="s">
        <v>21</v>
      </c>
      <c r="G3" s="20" t="s">
        <v>22</v>
      </c>
      <c r="H3" s="24"/>
      <c r="I3" s="25">
        <v>496</v>
      </c>
      <c r="J3" s="25">
        <v>371</v>
      </c>
      <c r="K3" s="26">
        <f>I3-M3</f>
        <v>125</v>
      </c>
      <c r="L3" s="27">
        <f>O3+Q3+S3+U3+W3+Y3+AA3+AC3+AE3+AG3+AI3+AK3+AM3+AO3+AQ3+AS3+AU3+AW3+AY3+BA3+BC3+BE3+BG3+BI3+BK3+BM3+BO3+BQ3+BS3+BU3+BW3</f>
        <v>0</v>
      </c>
      <c r="M3" s="28">
        <f>J3+L3</f>
        <v>371</v>
      </c>
      <c r="N3" s="19"/>
      <c r="O3" s="20"/>
      <c r="P3" s="19"/>
      <c r="Q3" s="20"/>
      <c r="R3" s="20"/>
      <c r="S3" s="20"/>
      <c r="T3" s="20"/>
      <c r="U3" s="20"/>
      <c r="V3" s="20"/>
      <c r="W3" s="20"/>
      <c r="X3" s="29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30"/>
      <c r="BX3" s="31">
        <f>P3+R3+T3+V3+X3+Z3+AB3+AD3+AF3+AH3+AJ3+AL3+AN3+AP3+AR3+AT3+AV3+AX3+AZ3+BB3+BD3+BF3+BH3+BJ3+BL3+BN3+BP3+BR3+BT3+BV3+N3</f>
        <v>0</v>
      </c>
      <c r="BY3" s="32">
        <f t="shared" ref="BY3:BY46" si="0">I3-M3</f>
        <v>125</v>
      </c>
      <c r="BZ3" s="33">
        <f t="shared" ref="BZ3:BZ46" si="1">M3/I3</f>
        <v>0.74798387096774188</v>
      </c>
      <c r="CA3" s="48" t="s">
        <v>105</v>
      </c>
    </row>
    <row r="4" spans="1:79" ht="12.9" customHeight="1" thickBot="1" x14ac:dyDescent="0.35">
      <c r="A4" s="34">
        <f t="shared" ref="A4:A46" si="2">A3+1</f>
        <v>2</v>
      </c>
      <c r="B4" s="35">
        <v>20076444</v>
      </c>
      <c r="C4" s="36" t="s">
        <v>18</v>
      </c>
      <c r="D4" s="37" t="s">
        <v>23</v>
      </c>
      <c r="E4" s="37" t="s">
        <v>24</v>
      </c>
      <c r="F4" s="35" t="s">
        <v>25</v>
      </c>
      <c r="G4" s="20" t="s">
        <v>22</v>
      </c>
      <c r="H4" s="38"/>
      <c r="I4" s="39">
        <v>915</v>
      </c>
      <c r="J4" s="39">
        <v>137</v>
      </c>
      <c r="K4" s="40">
        <f t="shared" ref="K4:K46" si="3">I4-M4</f>
        <v>778</v>
      </c>
      <c r="L4" s="41">
        <f t="shared" ref="L4:L41" si="4">O4+Q4+S4+U4+W4+Y4+AA4+AC4+AE4+AG4+AI4+AK4+AM4+AO4+AQ4+AS4+AU4+AW4+AY4+BA4+BC4+BE4+BG4+BI4+BK4+BM4+BO4+BQ4+BS4+BU4+BW4</f>
        <v>0</v>
      </c>
      <c r="M4" s="42">
        <f t="shared" ref="M4:M46" si="5">J4+L4</f>
        <v>137</v>
      </c>
      <c r="N4" s="34"/>
      <c r="O4" s="35"/>
      <c r="P4" s="34"/>
      <c r="Q4" s="35"/>
      <c r="R4" s="43"/>
      <c r="S4" s="35"/>
      <c r="T4" s="43"/>
      <c r="U4" s="43"/>
      <c r="V4" s="43"/>
      <c r="W4" s="43"/>
      <c r="X4" s="35"/>
      <c r="Y4" s="35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35"/>
      <c r="BR4" s="35"/>
      <c r="BS4" s="35"/>
      <c r="BT4" s="35"/>
      <c r="BU4" s="35"/>
      <c r="BV4" s="35"/>
      <c r="BW4" s="44"/>
      <c r="BX4" s="45">
        <f t="shared" ref="BX4:BX46" si="6">P4+R4+T4+V4+X4+Z4+AB4+AD4+AF4+AH4+AJ4+AL4+AN4+AP4+AR4+AT4+AV4+AX4+AZ4+BB4+BD4+BF4+BH4+BJ4+BL4+BN4+BP4+BR4+BT4+BV4+N4</f>
        <v>0</v>
      </c>
      <c r="BY4" s="46">
        <f t="shared" si="0"/>
        <v>778</v>
      </c>
      <c r="BZ4" s="47">
        <f t="shared" si="1"/>
        <v>0.14972677595628414</v>
      </c>
      <c r="CA4" s="48" t="s">
        <v>105</v>
      </c>
    </row>
    <row r="5" spans="1:79" ht="12.9" customHeight="1" thickBot="1" x14ac:dyDescent="0.35">
      <c r="A5" s="34">
        <f t="shared" si="2"/>
        <v>3</v>
      </c>
      <c r="B5" s="49">
        <v>20093050</v>
      </c>
      <c r="C5" s="36" t="s">
        <v>18</v>
      </c>
      <c r="D5" s="50" t="s">
        <v>26</v>
      </c>
      <c r="E5" s="35" t="s">
        <v>27</v>
      </c>
      <c r="F5" s="35" t="s">
        <v>28</v>
      </c>
      <c r="G5" s="20" t="s">
        <v>22</v>
      </c>
      <c r="H5" s="38"/>
      <c r="I5" s="39">
        <v>427</v>
      </c>
      <c r="J5" s="39">
        <v>130</v>
      </c>
      <c r="K5" s="40">
        <f t="shared" si="3"/>
        <v>297</v>
      </c>
      <c r="L5" s="41">
        <f t="shared" si="4"/>
        <v>0</v>
      </c>
      <c r="M5" s="42">
        <f t="shared" si="5"/>
        <v>130</v>
      </c>
      <c r="N5" s="34"/>
      <c r="O5" s="35"/>
      <c r="P5" s="34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43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44"/>
      <c r="BX5" s="45">
        <f t="shared" si="6"/>
        <v>0</v>
      </c>
      <c r="BY5" s="46">
        <f t="shared" si="0"/>
        <v>297</v>
      </c>
      <c r="BZ5" s="47">
        <f t="shared" si="1"/>
        <v>0.3044496487119438</v>
      </c>
      <c r="CA5" s="48" t="s">
        <v>105</v>
      </c>
    </row>
    <row r="6" spans="1:79" ht="12.9" customHeight="1" thickBot="1" x14ac:dyDescent="0.35">
      <c r="A6" s="34">
        <f t="shared" si="2"/>
        <v>4</v>
      </c>
      <c r="B6" s="35">
        <v>20096614</v>
      </c>
      <c r="C6" s="36" t="s">
        <v>18</v>
      </c>
      <c r="D6" s="36" t="s">
        <v>29</v>
      </c>
      <c r="E6" s="35" t="s">
        <v>30</v>
      </c>
      <c r="F6" s="35" t="s">
        <v>31</v>
      </c>
      <c r="G6" s="20" t="s">
        <v>22</v>
      </c>
      <c r="H6" s="38"/>
      <c r="I6" s="39">
        <v>320</v>
      </c>
      <c r="J6" s="39">
        <v>83</v>
      </c>
      <c r="K6" s="40">
        <f t="shared" si="3"/>
        <v>237</v>
      </c>
      <c r="L6" s="41">
        <f t="shared" si="4"/>
        <v>0</v>
      </c>
      <c r="M6" s="42">
        <f t="shared" si="5"/>
        <v>83</v>
      </c>
      <c r="N6" s="34"/>
      <c r="O6" s="35"/>
      <c r="P6" s="34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3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44"/>
      <c r="BX6" s="45">
        <f t="shared" si="6"/>
        <v>0</v>
      </c>
      <c r="BY6" s="46">
        <f t="shared" si="0"/>
        <v>237</v>
      </c>
      <c r="BZ6" s="47">
        <f t="shared" si="1"/>
        <v>0.25937500000000002</v>
      </c>
      <c r="CA6" s="48" t="s">
        <v>105</v>
      </c>
    </row>
    <row r="7" spans="1:79" ht="12.9" customHeight="1" thickBot="1" x14ac:dyDescent="0.35">
      <c r="A7" s="34">
        <f t="shared" si="2"/>
        <v>5</v>
      </c>
      <c r="B7" s="35">
        <v>20076578</v>
      </c>
      <c r="C7" s="36" t="s">
        <v>18</v>
      </c>
      <c r="D7" s="50" t="s">
        <v>32</v>
      </c>
      <c r="E7" s="35" t="s">
        <v>33</v>
      </c>
      <c r="F7" s="35" t="s">
        <v>34</v>
      </c>
      <c r="G7" s="20" t="s">
        <v>22</v>
      </c>
      <c r="H7" s="38"/>
      <c r="I7" s="39">
        <v>333</v>
      </c>
      <c r="J7" s="39">
        <v>104</v>
      </c>
      <c r="K7" s="40">
        <f t="shared" si="3"/>
        <v>229</v>
      </c>
      <c r="L7" s="41">
        <f t="shared" si="4"/>
        <v>0</v>
      </c>
      <c r="M7" s="42">
        <f t="shared" si="5"/>
        <v>104</v>
      </c>
      <c r="N7" s="34"/>
      <c r="O7" s="35"/>
      <c r="P7" s="34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43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44"/>
      <c r="BX7" s="45">
        <f t="shared" si="6"/>
        <v>0</v>
      </c>
      <c r="BY7" s="46">
        <f t="shared" si="0"/>
        <v>229</v>
      </c>
      <c r="BZ7" s="47">
        <f t="shared" si="1"/>
        <v>0.31231231231231232</v>
      </c>
      <c r="CA7" s="48" t="s">
        <v>105</v>
      </c>
    </row>
    <row r="8" spans="1:79" ht="12.9" customHeight="1" thickBot="1" x14ac:dyDescent="0.35">
      <c r="A8" s="34">
        <f t="shared" si="2"/>
        <v>6</v>
      </c>
      <c r="B8" s="35">
        <v>20096574</v>
      </c>
      <c r="C8" s="52" t="s">
        <v>35</v>
      </c>
      <c r="D8" s="50" t="s">
        <v>36</v>
      </c>
      <c r="E8" s="35" t="s">
        <v>20</v>
      </c>
      <c r="F8" s="35" t="s">
        <v>37</v>
      </c>
      <c r="G8" s="20" t="s">
        <v>22</v>
      </c>
      <c r="H8" s="38"/>
      <c r="I8" s="39">
        <v>555</v>
      </c>
      <c r="J8" s="39">
        <v>90</v>
      </c>
      <c r="K8" s="40">
        <f t="shared" si="3"/>
        <v>465</v>
      </c>
      <c r="L8" s="41">
        <f t="shared" si="4"/>
        <v>0</v>
      </c>
      <c r="M8" s="42">
        <f t="shared" si="5"/>
        <v>90</v>
      </c>
      <c r="N8" s="34"/>
      <c r="O8" s="35"/>
      <c r="P8" s="34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43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44"/>
      <c r="BX8" s="45">
        <f t="shared" si="6"/>
        <v>0</v>
      </c>
      <c r="BY8" s="46">
        <f t="shared" si="0"/>
        <v>465</v>
      </c>
      <c r="BZ8" s="47">
        <f t="shared" si="1"/>
        <v>0.16216216216216217</v>
      </c>
      <c r="CA8" s="48" t="s">
        <v>105</v>
      </c>
    </row>
    <row r="9" spans="1:79" ht="12.9" customHeight="1" thickBot="1" x14ac:dyDescent="0.35">
      <c r="A9" s="34">
        <f t="shared" si="2"/>
        <v>7</v>
      </c>
      <c r="B9" s="35">
        <v>20094400</v>
      </c>
      <c r="C9" s="52" t="s">
        <v>35</v>
      </c>
      <c r="D9" s="53" t="s">
        <v>38</v>
      </c>
      <c r="E9" s="54" t="s">
        <v>39</v>
      </c>
      <c r="F9" s="35" t="s">
        <v>37</v>
      </c>
      <c r="G9" s="20" t="s">
        <v>22</v>
      </c>
      <c r="H9" s="38"/>
      <c r="I9" s="39">
        <v>403</v>
      </c>
      <c r="J9" s="39">
        <v>457</v>
      </c>
      <c r="K9" s="40">
        <f t="shared" si="3"/>
        <v>-54</v>
      </c>
      <c r="L9" s="41">
        <f t="shared" si="4"/>
        <v>0</v>
      </c>
      <c r="M9" s="42">
        <f t="shared" si="5"/>
        <v>457</v>
      </c>
      <c r="N9" s="34"/>
      <c r="O9" s="35"/>
      <c r="P9" s="34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43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44"/>
      <c r="BX9" s="45">
        <f t="shared" si="6"/>
        <v>0</v>
      </c>
      <c r="BY9" s="46">
        <f t="shared" si="0"/>
        <v>-54</v>
      </c>
      <c r="BZ9" s="47">
        <f t="shared" si="1"/>
        <v>1.1339950372208436</v>
      </c>
      <c r="CA9" s="48" t="s">
        <v>105</v>
      </c>
    </row>
    <row r="10" spans="1:79" ht="12.9" customHeight="1" thickBot="1" x14ac:dyDescent="0.35">
      <c r="A10" s="34">
        <f t="shared" si="2"/>
        <v>8</v>
      </c>
      <c r="B10" s="35">
        <v>20094337</v>
      </c>
      <c r="C10" s="36" t="s">
        <v>18</v>
      </c>
      <c r="D10" s="50" t="s">
        <v>40</v>
      </c>
      <c r="E10" s="35" t="s">
        <v>24</v>
      </c>
      <c r="F10" s="35" t="s">
        <v>31</v>
      </c>
      <c r="G10" s="20" t="s">
        <v>22</v>
      </c>
      <c r="H10" s="38"/>
      <c r="I10" s="39">
        <v>928</v>
      </c>
      <c r="J10" s="39">
        <v>339</v>
      </c>
      <c r="K10" s="40">
        <f t="shared" si="3"/>
        <v>589</v>
      </c>
      <c r="L10" s="41">
        <f t="shared" si="4"/>
        <v>0</v>
      </c>
      <c r="M10" s="42">
        <f t="shared" si="5"/>
        <v>339</v>
      </c>
      <c r="N10" s="34"/>
      <c r="O10" s="35"/>
      <c r="P10" s="34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43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44"/>
      <c r="BX10" s="45">
        <f t="shared" si="6"/>
        <v>0</v>
      </c>
      <c r="BY10" s="46">
        <f t="shared" si="0"/>
        <v>589</v>
      </c>
      <c r="BZ10" s="47">
        <f t="shared" si="1"/>
        <v>0.36530172413793105</v>
      </c>
      <c r="CA10" s="48" t="s">
        <v>105</v>
      </c>
    </row>
    <row r="11" spans="1:79" ht="12.9" customHeight="1" thickBot="1" x14ac:dyDescent="0.35">
      <c r="A11" s="34">
        <f t="shared" si="2"/>
        <v>9</v>
      </c>
      <c r="B11" s="35">
        <v>20093875</v>
      </c>
      <c r="C11" s="52" t="s">
        <v>35</v>
      </c>
      <c r="D11" s="50" t="s">
        <v>41</v>
      </c>
      <c r="E11" s="35" t="s">
        <v>42</v>
      </c>
      <c r="F11" s="35" t="s">
        <v>37</v>
      </c>
      <c r="G11" s="20" t="s">
        <v>22</v>
      </c>
      <c r="H11" s="38"/>
      <c r="I11" s="39">
        <v>507</v>
      </c>
      <c r="J11" s="39">
        <v>230</v>
      </c>
      <c r="K11" s="40">
        <f t="shared" si="3"/>
        <v>277</v>
      </c>
      <c r="L11" s="41">
        <f t="shared" si="4"/>
        <v>0</v>
      </c>
      <c r="M11" s="42">
        <f t="shared" si="5"/>
        <v>230</v>
      </c>
      <c r="N11" s="34"/>
      <c r="O11" s="35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43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44"/>
      <c r="BX11" s="45">
        <f t="shared" si="6"/>
        <v>0</v>
      </c>
      <c r="BY11" s="46">
        <f t="shared" si="0"/>
        <v>277</v>
      </c>
      <c r="BZ11" s="47">
        <f t="shared" si="1"/>
        <v>0.45364891518737671</v>
      </c>
      <c r="CA11" s="48" t="s">
        <v>105</v>
      </c>
    </row>
    <row r="12" spans="1:79" ht="12.9" customHeight="1" thickBot="1" x14ac:dyDescent="0.35">
      <c r="A12" s="34">
        <f t="shared" si="2"/>
        <v>10</v>
      </c>
      <c r="B12" s="35">
        <v>20094965</v>
      </c>
      <c r="C12" s="52" t="s">
        <v>35</v>
      </c>
      <c r="D12" s="53" t="s">
        <v>43</v>
      </c>
      <c r="E12" s="35" t="s">
        <v>20</v>
      </c>
      <c r="F12" s="35" t="s">
        <v>37</v>
      </c>
      <c r="G12" s="20" t="s">
        <v>22</v>
      </c>
      <c r="H12" s="38"/>
      <c r="I12" s="39">
        <v>549</v>
      </c>
      <c r="J12" s="39">
        <v>381</v>
      </c>
      <c r="K12" s="40">
        <f t="shared" si="3"/>
        <v>168</v>
      </c>
      <c r="L12" s="41">
        <f t="shared" si="4"/>
        <v>0</v>
      </c>
      <c r="M12" s="42">
        <f t="shared" si="5"/>
        <v>381</v>
      </c>
      <c r="N12" s="34"/>
      <c r="O12" s="35"/>
      <c r="P12" s="34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43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44"/>
      <c r="BX12" s="45">
        <f t="shared" si="6"/>
        <v>0</v>
      </c>
      <c r="BY12" s="46">
        <f t="shared" si="0"/>
        <v>168</v>
      </c>
      <c r="BZ12" s="47">
        <f t="shared" si="1"/>
        <v>0.69398907103825136</v>
      </c>
      <c r="CA12" s="48" t="s">
        <v>105</v>
      </c>
    </row>
    <row r="13" spans="1:79" ht="12.9" customHeight="1" thickBot="1" x14ac:dyDescent="0.35">
      <c r="A13" s="34">
        <f t="shared" si="2"/>
        <v>11</v>
      </c>
      <c r="B13" s="35">
        <v>20076707</v>
      </c>
      <c r="C13" s="52" t="s">
        <v>35</v>
      </c>
      <c r="D13" s="36" t="s">
        <v>44</v>
      </c>
      <c r="E13" s="35" t="s">
        <v>45</v>
      </c>
      <c r="F13" s="35" t="s">
        <v>34</v>
      </c>
      <c r="G13" s="20" t="s">
        <v>22</v>
      </c>
      <c r="H13" s="38"/>
      <c r="I13" s="39">
        <v>572</v>
      </c>
      <c r="J13" s="39">
        <v>223</v>
      </c>
      <c r="K13" s="40">
        <f t="shared" si="3"/>
        <v>349</v>
      </c>
      <c r="L13" s="41">
        <f t="shared" si="4"/>
        <v>0</v>
      </c>
      <c r="M13" s="42">
        <f t="shared" si="5"/>
        <v>223</v>
      </c>
      <c r="N13" s="34"/>
      <c r="O13" s="35"/>
      <c r="P13" s="34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43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44"/>
      <c r="BX13" s="45">
        <f t="shared" si="6"/>
        <v>0</v>
      </c>
      <c r="BY13" s="46">
        <f t="shared" si="0"/>
        <v>349</v>
      </c>
      <c r="BZ13" s="47">
        <f t="shared" si="1"/>
        <v>0.38986013986013984</v>
      </c>
      <c r="CA13" s="48" t="s">
        <v>105</v>
      </c>
    </row>
    <row r="14" spans="1:79" ht="12.9" customHeight="1" thickBot="1" x14ac:dyDescent="0.35">
      <c r="A14" s="34">
        <f t="shared" si="2"/>
        <v>12</v>
      </c>
      <c r="B14" s="35">
        <v>20101448</v>
      </c>
      <c r="C14" s="52" t="s">
        <v>35</v>
      </c>
      <c r="D14" s="50" t="s">
        <v>46</v>
      </c>
      <c r="E14" s="35" t="s">
        <v>47</v>
      </c>
      <c r="F14" s="35" t="s">
        <v>34</v>
      </c>
      <c r="G14" s="20" t="s">
        <v>22</v>
      </c>
      <c r="H14" s="38"/>
      <c r="I14" s="39">
        <v>300</v>
      </c>
      <c r="J14" s="39">
        <v>228</v>
      </c>
      <c r="K14" s="40">
        <f t="shared" si="3"/>
        <v>72</v>
      </c>
      <c r="L14" s="41">
        <f t="shared" si="4"/>
        <v>0</v>
      </c>
      <c r="M14" s="42">
        <f t="shared" si="5"/>
        <v>228</v>
      </c>
      <c r="N14" s="34"/>
      <c r="O14" s="35"/>
      <c r="P14" s="34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43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44"/>
      <c r="BX14" s="45">
        <f t="shared" si="6"/>
        <v>0</v>
      </c>
      <c r="BY14" s="46">
        <f t="shared" si="0"/>
        <v>72</v>
      </c>
      <c r="BZ14" s="47">
        <f t="shared" si="1"/>
        <v>0.76</v>
      </c>
      <c r="CA14" s="48" t="s">
        <v>105</v>
      </c>
    </row>
    <row r="15" spans="1:79" ht="12.9" customHeight="1" thickBot="1" x14ac:dyDescent="0.35">
      <c r="A15" s="34">
        <f t="shared" si="2"/>
        <v>13</v>
      </c>
      <c r="B15" s="35">
        <v>20094386</v>
      </c>
      <c r="C15" s="52" t="s">
        <v>35</v>
      </c>
      <c r="D15" s="50" t="s">
        <v>48</v>
      </c>
      <c r="E15" s="35" t="s">
        <v>49</v>
      </c>
      <c r="F15" s="35" t="s">
        <v>37</v>
      </c>
      <c r="G15" s="20" t="s">
        <v>22</v>
      </c>
      <c r="H15" s="38"/>
      <c r="I15" s="39">
        <v>713</v>
      </c>
      <c r="J15" s="39">
        <v>271</v>
      </c>
      <c r="K15" s="40">
        <f t="shared" si="3"/>
        <v>442</v>
      </c>
      <c r="L15" s="41">
        <f t="shared" si="4"/>
        <v>0</v>
      </c>
      <c r="M15" s="42">
        <f t="shared" si="5"/>
        <v>271</v>
      </c>
      <c r="N15" s="34"/>
      <c r="O15" s="35"/>
      <c r="P15" s="34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43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44"/>
      <c r="BX15" s="45">
        <f t="shared" si="6"/>
        <v>0</v>
      </c>
      <c r="BY15" s="46">
        <f t="shared" si="0"/>
        <v>442</v>
      </c>
      <c r="BZ15" s="47">
        <f t="shared" si="1"/>
        <v>0.38008415147265079</v>
      </c>
      <c r="CA15" s="48" t="s">
        <v>105</v>
      </c>
    </row>
    <row r="16" spans="1:79" ht="12.9" customHeight="1" thickBot="1" x14ac:dyDescent="0.35">
      <c r="A16" s="34">
        <f t="shared" si="2"/>
        <v>14</v>
      </c>
      <c r="B16" s="35">
        <v>20094307</v>
      </c>
      <c r="C16" s="36" t="s">
        <v>18</v>
      </c>
      <c r="D16" s="55" t="s">
        <v>50</v>
      </c>
      <c r="E16" s="35" t="s">
        <v>51</v>
      </c>
      <c r="F16" s="35" t="s">
        <v>25</v>
      </c>
      <c r="G16" s="20" t="s">
        <v>22</v>
      </c>
      <c r="H16" s="38"/>
      <c r="I16" s="39">
        <v>486</v>
      </c>
      <c r="J16" s="39">
        <v>394</v>
      </c>
      <c r="K16" s="40">
        <f t="shared" si="3"/>
        <v>92</v>
      </c>
      <c r="L16" s="41">
        <f t="shared" si="4"/>
        <v>0</v>
      </c>
      <c r="M16" s="42">
        <f t="shared" si="5"/>
        <v>394</v>
      </c>
      <c r="N16" s="34"/>
      <c r="O16" s="35"/>
      <c r="P16" s="34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43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44"/>
      <c r="BX16" s="45">
        <f t="shared" si="6"/>
        <v>0</v>
      </c>
      <c r="BY16" s="46">
        <f t="shared" si="0"/>
        <v>92</v>
      </c>
      <c r="BZ16" s="47">
        <f t="shared" si="1"/>
        <v>0.81069958847736623</v>
      </c>
      <c r="CA16" s="48" t="s">
        <v>105</v>
      </c>
    </row>
    <row r="17" spans="1:79" ht="12.9" customHeight="1" thickBot="1" x14ac:dyDescent="0.35">
      <c r="A17" s="34">
        <f t="shared" si="2"/>
        <v>15</v>
      </c>
      <c r="B17" s="35">
        <v>20096617</v>
      </c>
      <c r="C17" s="36" t="s">
        <v>18</v>
      </c>
      <c r="D17" s="50" t="s">
        <v>52</v>
      </c>
      <c r="E17" s="35" t="s">
        <v>53</v>
      </c>
      <c r="F17" s="35" t="s">
        <v>31</v>
      </c>
      <c r="G17" s="20" t="s">
        <v>22</v>
      </c>
      <c r="H17" s="38"/>
      <c r="I17" s="39">
        <v>288</v>
      </c>
      <c r="J17" s="39">
        <v>290</v>
      </c>
      <c r="K17" s="40">
        <f t="shared" si="3"/>
        <v>-2</v>
      </c>
      <c r="L17" s="41">
        <f t="shared" si="4"/>
        <v>0</v>
      </c>
      <c r="M17" s="42">
        <f t="shared" si="5"/>
        <v>290</v>
      </c>
      <c r="N17" s="34"/>
      <c r="O17" s="35"/>
      <c r="P17" s="34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43"/>
      <c r="BH17" s="35"/>
      <c r="BI17" s="35"/>
      <c r="BJ17" s="43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44"/>
      <c r="BX17" s="45">
        <f t="shared" si="6"/>
        <v>0</v>
      </c>
      <c r="BY17" s="46">
        <f t="shared" si="0"/>
        <v>-2</v>
      </c>
      <c r="BZ17" s="47">
        <f t="shared" si="1"/>
        <v>1.0069444444444444</v>
      </c>
      <c r="CA17" s="48" t="s">
        <v>105</v>
      </c>
    </row>
    <row r="18" spans="1:79" ht="12.9" customHeight="1" thickBot="1" x14ac:dyDescent="0.35">
      <c r="A18" s="34">
        <f t="shared" si="2"/>
        <v>16</v>
      </c>
      <c r="B18" s="35">
        <v>20096754</v>
      </c>
      <c r="C18" s="52" t="s">
        <v>35</v>
      </c>
      <c r="D18" s="50" t="s">
        <v>54</v>
      </c>
      <c r="E18" s="35" t="s">
        <v>55</v>
      </c>
      <c r="F18" s="35" t="s">
        <v>21</v>
      </c>
      <c r="G18" s="20" t="s">
        <v>22</v>
      </c>
      <c r="H18" s="38"/>
      <c r="I18" s="39">
        <v>620</v>
      </c>
      <c r="J18" s="39">
        <v>174</v>
      </c>
      <c r="K18" s="40">
        <f t="shared" si="3"/>
        <v>446</v>
      </c>
      <c r="L18" s="41">
        <f t="shared" si="4"/>
        <v>0</v>
      </c>
      <c r="M18" s="42">
        <f t="shared" si="5"/>
        <v>174</v>
      </c>
      <c r="N18" s="34"/>
      <c r="O18" s="35"/>
      <c r="P18" s="34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43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44"/>
      <c r="BX18" s="45">
        <f t="shared" si="6"/>
        <v>0</v>
      </c>
      <c r="BY18" s="46">
        <f t="shared" si="0"/>
        <v>446</v>
      </c>
      <c r="BZ18" s="47">
        <f t="shared" si="1"/>
        <v>0.28064516129032258</v>
      </c>
      <c r="CA18" s="48" t="s">
        <v>105</v>
      </c>
    </row>
    <row r="19" spans="1:79" ht="12.9" customHeight="1" thickBot="1" x14ac:dyDescent="0.35">
      <c r="A19" s="34">
        <f t="shared" si="2"/>
        <v>17</v>
      </c>
      <c r="B19" s="35">
        <v>20094394</v>
      </c>
      <c r="C19" s="52" t="s">
        <v>35</v>
      </c>
      <c r="D19" s="43" t="s">
        <v>56</v>
      </c>
      <c r="E19" s="36" t="s">
        <v>57</v>
      </c>
      <c r="F19" s="35" t="s">
        <v>34</v>
      </c>
      <c r="G19" s="20" t="s">
        <v>22</v>
      </c>
      <c r="H19" s="38"/>
      <c r="I19" s="39">
        <v>889</v>
      </c>
      <c r="J19" s="43">
        <v>192</v>
      </c>
      <c r="K19" s="40">
        <f t="shared" si="3"/>
        <v>697</v>
      </c>
      <c r="L19" s="41">
        <f t="shared" si="4"/>
        <v>0</v>
      </c>
      <c r="M19" s="42">
        <f t="shared" si="5"/>
        <v>192</v>
      </c>
      <c r="N19" s="56"/>
      <c r="O19" s="43"/>
      <c r="P19" s="56"/>
      <c r="Q19" s="43"/>
      <c r="R19" s="43"/>
      <c r="S19" s="43"/>
      <c r="T19" s="43"/>
      <c r="U19" s="43"/>
      <c r="V19" s="43"/>
      <c r="W19" s="43"/>
      <c r="X19" s="35"/>
      <c r="Y19" s="35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57"/>
      <c r="BX19" s="45">
        <f t="shared" si="6"/>
        <v>0</v>
      </c>
      <c r="BY19" s="46">
        <f t="shared" si="0"/>
        <v>697</v>
      </c>
      <c r="BZ19" s="47">
        <f t="shared" si="1"/>
        <v>0.21597300337457817</v>
      </c>
      <c r="CA19" s="48" t="s">
        <v>105</v>
      </c>
    </row>
    <row r="20" spans="1:79" ht="12.9" customHeight="1" thickBot="1" x14ac:dyDescent="0.35">
      <c r="A20" s="34">
        <f t="shared" si="2"/>
        <v>18</v>
      </c>
      <c r="B20" s="35">
        <v>20096685</v>
      </c>
      <c r="C20" s="36" t="s">
        <v>18</v>
      </c>
      <c r="D20" s="50" t="s">
        <v>58</v>
      </c>
      <c r="E20" s="35" t="s">
        <v>59</v>
      </c>
      <c r="F20" s="35" t="s">
        <v>21</v>
      </c>
      <c r="G20" s="20" t="s">
        <v>22</v>
      </c>
      <c r="H20" s="38"/>
      <c r="I20" s="39">
        <v>550</v>
      </c>
      <c r="J20" s="39">
        <v>244</v>
      </c>
      <c r="K20" s="40">
        <f t="shared" si="3"/>
        <v>306</v>
      </c>
      <c r="L20" s="41">
        <f t="shared" si="4"/>
        <v>0</v>
      </c>
      <c r="M20" s="42">
        <f t="shared" si="5"/>
        <v>244</v>
      </c>
      <c r="N20" s="34"/>
      <c r="O20" s="35"/>
      <c r="P20" s="34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43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44"/>
      <c r="BX20" s="45">
        <f t="shared" si="6"/>
        <v>0</v>
      </c>
      <c r="BY20" s="46">
        <f t="shared" si="0"/>
        <v>306</v>
      </c>
      <c r="BZ20" s="47">
        <f t="shared" si="1"/>
        <v>0.44363636363636366</v>
      </c>
      <c r="CA20" s="48" t="s">
        <v>105</v>
      </c>
    </row>
    <row r="21" spans="1:79" ht="12.9" customHeight="1" thickBot="1" x14ac:dyDescent="0.35">
      <c r="A21" s="34">
        <f t="shared" si="2"/>
        <v>19</v>
      </c>
      <c r="B21" s="35">
        <v>20096396</v>
      </c>
      <c r="C21" s="36" t="s">
        <v>18</v>
      </c>
      <c r="D21" s="50" t="s">
        <v>60</v>
      </c>
      <c r="E21" s="35" t="s">
        <v>61</v>
      </c>
      <c r="F21" s="35" t="s">
        <v>34</v>
      </c>
      <c r="G21" s="20" t="s">
        <v>22</v>
      </c>
      <c r="H21" s="38"/>
      <c r="I21" s="39">
        <v>628</v>
      </c>
      <c r="J21" s="39">
        <v>276</v>
      </c>
      <c r="K21" s="40">
        <f t="shared" si="3"/>
        <v>352</v>
      </c>
      <c r="L21" s="41">
        <f t="shared" si="4"/>
        <v>0</v>
      </c>
      <c r="M21" s="42">
        <f t="shared" si="5"/>
        <v>276</v>
      </c>
      <c r="N21" s="34"/>
      <c r="O21" s="35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43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44"/>
      <c r="BX21" s="45">
        <f t="shared" si="6"/>
        <v>0</v>
      </c>
      <c r="BY21" s="46">
        <f t="shared" si="0"/>
        <v>352</v>
      </c>
      <c r="BZ21" s="47">
        <f t="shared" si="1"/>
        <v>0.43949044585987262</v>
      </c>
      <c r="CA21" s="48" t="s">
        <v>105</v>
      </c>
    </row>
    <row r="22" spans="1:79" ht="12.9" customHeight="1" thickBot="1" x14ac:dyDescent="0.35">
      <c r="A22" s="34">
        <f t="shared" si="2"/>
        <v>20</v>
      </c>
      <c r="B22" s="35">
        <v>20092947</v>
      </c>
      <c r="C22" s="36" t="s">
        <v>18</v>
      </c>
      <c r="D22" s="36" t="s">
        <v>62</v>
      </c>
      <c r="E22" s="35" t="s">
        <v>63</v>
      </c>
      <c r="F22" s="36" t="s">
        <v>21</v>
      </c>
      <c r="G22" s="20" t="s">
        <v>22</v>
      </c>
      <c r="H22" s="38"/>
      <c r="I22" s="39">
        <v>240</v>
      </c>
      <c r="J22" s="39">
        <v>204</v>
      </c>
      <c r="K22" s="40">
        <f t="shared" si="3"/>
        <v>36</v>
      </c>
      <c r="L22" s="41">
        <f t="shared" si="4"/>
        <v>0</v>
      </c>
      <c r="M22" s="42">
        <f t="shared" si="5"/>
        <v>204</v>
      </c>
      <c r="N22" s="34"/>
      <c r="O22" s="35"/>
      <c r="P22" s="3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43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44"/>
      <c r="BX22" s="45">
        <f t="shared" si="6"/>
        <v>0</v>
      </c>
      <c r="BY22" s="46">
        <f t="shared" si="0"/>
        <v>36</v>
      </c>
      <c r="BZ22" s="58">
        <f t="shared" si="1"/>
        <v>0.85</v>
      </c>
      <c r="CA22" s="48" t="s">
        <v>105</v>
      </c>
    </row>
    <row r="23" spans="1:79" ht="12.9" customHeight="1" thickBot="1" x14ac:dyDescent="0.35">
      <c r="A23" s="34">
        <f t="shared" si="2"/>
        <v>21</v>
      </c>
      <c r="B23" s="35">
        <v>20093878</v>
      </c>
      <c r="C23" s="36" t="s">
        <v>18</v>
      </c>
      <c r="D23" s="50" t="s">
        <v>64</v>
      </c>
      <c r="E23" s="35" t="s">
        <v>65</v>
      </c>
      <c r="F23" s="35" t="s">
        <v>21</v>
      </c>
      <c r="G23" s="20" t="s">
        <v>22</v>
      </c>
      <c r="H23" s="38"/>
      <c r="I23" s="39">
        <v>375</v>
      </c>
      <c r="J23" s="39">
        <v>104</v>
      </c>
      <c r="K23" s="40">
        <f t="shared" si="3"/>
        <v>271</v>
      </c>
      <c r="L23" s="41">
        <f t="shared" si="4"/>
        <v>0</v>
      </c>
      <c r="M23" s="42">
        <f t="shared" si="5"/>
        <v>104</v>
      </c>
      <c r="N23" s="34"/>
      <c r="O23" s="35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43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44"/>
      <c r="BX23" s="45">
        <f t="shared" si="6"/>
        <v>0</v>
      </c>
      <c r="BY23" s="46">
        <f t="shared" si="0"/>
        <v>271</v>
      </c>
      <c r="BZ23" s="59">
        <f t="shared" si="1"/>
        <v>0.27733333333333332</v>
      </c>
      <c r="CA23" s="48" t="s">
        <v>105</v>
      </c>
    </row>
    <row r="24" spans="1:79" ht="12.9" customHeight="1" thickBot="1" x14ac:dyDescent="0.35">
      <c r="A24" s="34">
        <f t="shared" si="2"/>
        <v>22</v>
      </c>
      <c r="B24" s="35">
        <v>20076430</v>
      </c>
      <c r="C24" s="36" t="s">
        <v>18</v>
      </c>
      <c r="D24" s="36" t="s">
        <v>66</v>
      </c>
      <c r="E24" s="35" t="s">
        <v>67</v>
      </c>
      <c r="F24" s="35" t="s">
        <v>34</v>
      </c>
      <c r="G24" s="20" t="s">
        <v>22</v>
      </c>
      <c r="H24" s="38"/>
      <c r="I24" s="39">
        <v>200</v>
      </c>
      <c r="J24" s="39">
        <v>167</v>
      </c>
      <c r="K24" s="40">
        <f t="shared" si="3"/>
        <v>33</v>
      </c>
      <c r="L24" s="41">
        <f t="shared" si="4"/>
        <v>0</v>
      </c>
      <c r="M24" s="42">
        <f t="shared" si="5"/>
        <v>167</v>
      </c>
      <c r="N24" s="34">
        <v>6</v>
      </c>
      <c r="O24" s="35"/>
      <c r="P24" s="34">
        <v>3</v>
      </c>
      <c r="Q24" s="35"/>
      <c r="R24" s="34">
        <v>3</v>
      </c>
      <c r="S24" s="35"/>
      <c r="T24" s="35"/>
      <c r="U24" s="35"/>
      <c r="V24" s="35"/>
      <c r="W24" s="35"/>
      <c r="X24" s="35"/>
      <c r="Y24" s="35"/>
      <c r="Z24" s="35">
        <v>2</v>
      </c>
      <c r="AA24" s="35"/>
      <c r="AB24" s="35">
        <v>2</v>
      </c>
      <c r="AC24" s="35"/>
      <c r="AD24" s="35">
        <v>4</v>
      </c>
      <c r="AE24" s="35"/>
      <c r="AF24" s="35"/>
      <c r="AG24" s="35"/>
      <c r="AH24" s="35">
        <v>4</v>
      </c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44"/>
      <c r="BX24" s="45">
        <f t="shared" si="6"/>
        <v>24</v>
      </c>
      <c r="BY24" s="46">
        <f t="shared" si="0"/>
        <v>33</v>
      </c>
      <c r="BZ24" s="47">
        <f t="shared" si="1"/>
        <v>0.83499999999999996</v>
      </c>
      <c r="CA24" s="48" t="s">
        <v>105</v>
      </c>
    </row>
    <row r="25" spans="1:79" ht="12.9" customHeight="1" thickBot="1" x14ac:dyDescent="0.35">
      <c r="A25" s="34">
        <f t="shared" si="2"/>
        <v>23</v>
      </c>
      <c r="B25" s="35">
        <v>20094320</v>
      </c>
      <c r="C25" s="36" t="s">
        <v>18</v>
      </c>
      <c r="D25" s="50" t="s">
        <v>68</v>
      </c>
      <c r="E25" s="35" t="s">
        <v>69</v>
      </c>
      <c r="F25" s="35" t="s">
        <v>31</v>
      </c>
      <c r="G25" s="20" t="s">
        <v>22</v>
      </c>
      <c r="H25" s="38"/>
      <c r="I25" s="39">
        <v>991</v>
      </c>
      <c r="J25" s="39">
        <v>221</v>
      </c>
      <c r="K25" s="40">
        <f t="shared" si="3"/>
        <v>770</v>
      </c>
      <c r="L25" s="41">
        <f t="shared" si="4"/>
        <v>0</v>
      </c>
      <c r="M25" s="42">
        <f t="shared" si="5"/>
        <v>221</v>
      </c>
      <c r="N25" s="34"/>
      <c r="O25" s="35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43"/>
      <c r="BH25" s="35"/>
      <c r="BI25" s="35"/>
      <c r="BJ25" s="43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44"/>
      <c r="BX25" s="45">
        <f t="shared" si="6"/>
        <v>0</v>
      </c>
      <c r="BY25" s="46">
        <f t="shared" si="0"/>
        <v>770</v>
      </c>
      <c r="BZ25" s="47">
        <f t="shared" si="1"/>
        <v>0.22300706357214933</v>
      </c>
      <c r="CA25" s="48" t="s">
        <v>105</v>
      </c>
    </row>
    <row r="26" spans="1:79" ht="12.9" customHeight="1" thickBot="1" x14ac:dyDescent="0.35">
      <c r="A26" s="34">
        <f t="shared" si="2"/>
        <v>24</v>
      </c>
      <c r="B26" s="35">
        <v>20096622</v>
      </c>
      <c r="C26" s="36" t="s">
        <v>18</v>
      </c>
      <c r="D26" s="50" t="s">
        <v>70</v>
      </c>
      <c r="E26" s="35" t="s">
        <v>71</v>
      </c>
      <c r="F26" s="35" t="s">
        <v>34</v>
      </c>
      <c r="G26" s="20" t="s">
        <v>22</v>
      </c>
      <c r="H26" s="38"/>
      <c r="I26" s="39">
        <v>200</v>
      </c>
      <c r="J26" s="39">
        <v>160</v>
      </c>
      <c r="K26" s="40">
        <f t="shared" si="3"/>
        <v>40</v>
      </c>
      <c r="L26" s="41">
        <f t="shared" si="4"/>
        <v>0</v>
      </c>
      <c r="M26" s="42">
        <f t="shared" si="5"/>
        <v>160</v>
      </c>
      <c r="N26" s="34"/>
      <c r="O26" s="35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43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44"/>
      <c r="BX26" s="45">
        <f t="shared" si="6"/>
        <v>0</v>
      </c>
      <c r="BY26" s="46">
        <f t="shared" si="0"/>
        <v>40</v>
      </c>
      <c r="BZ26" s="47">
        <f t="shared" si="1"/>
        <v>0.8</v>
      </c>
      <c r="CA26" s="48" t="s">
        <v>105</v>
      </c>
    </row>
    <row r="27" spans="1:79" ht="12.9" customHeight="1" thickBot="1" x14ac:dyDescent="0.35">
      <c r="A27" s="34">
        <f t="shared" si="2"/>
        <v>25</v>
      </c>
      <c r="B27" s="35">
        <v>20102996</v>
      </c>
      <c r="C27" s="52" t="s">
        <v>35</v>
      </c>
      <c r="D27" s="36" t="s">
        <v>72</v>
      </c>
      <c r="E27" s="35" t="s">
        <v>73</v>
      </c>
      <c r="F27" s="35" t="s">
        <v>37</v>
      </c>
      <c r="G27" s="20" t="s">
        <v>22</v>
      </c>
      <c r="H27" s="38"/>
      <c r="I27" s="39"/>
      <c r="J27" s="39">
        <v>145</v>
      </c>
      <c r="K27" s="40">
        <f t="shared" si="3"/>
        <v>-145</v>
      </c>
      <c r="L27" s="41">
        <f>O27+S27+U27+W27+Y27+AA27+AC27+AE27+AG27+AI27+AK27+AM27+AO27+AQ27+AS27+AU27+AW27+AY27+BA27+BC27+BE27+BG27+BI27+BK27+L29</f>
        <v>0</v>
      </c>
      <c r="M27" s="42">
        <f t="shared" si="5"/>
        <v>145</v>
      </c>
      <c r="N27" s="34"/>
      <c r="O27" s="35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43"/>
      <c r="BH27" s="35"/>
      <c r="BI27" s="35"/>
      <c r="BJ27" s="43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44"/>
      <c r="BX27" s="45" t="e">
        <f>#REF!+R27+T27+V27+X27+Z27+AB27+AD27+AF27+AH27+AJ27+AL27+AN27+AP27+AR27+AT27+AV27+AX27+AZ27+BB27+BD27+BF27+BH27+BJ27+BL27+BN27+BP27+BR27+BT27+BV27+N27</f>
        <v>#REF!</v>
      </c>
      <c r="BY27" s="46">
        <f t="shared" si="0"/>
        <v>-145</v>
      </c>
      <c r="BZ27" s="47" t="e">
        <f t="shared" si="1"/>
        <v>#DIV/0!</v>
      </c>
      <c r="CA27" s="48" t="s">
        <v>105</v>
      </c>
    </row>
    <row r="28" spans="1:79" ht="12.9" customHeight="1" thickBot="1" x14ac:dyDescent="0.35">
      <c r="A28" s="34">
        <f t="shared" si="2"/>
        <v>26</v>
      </c>
      <c r="B28" s="35">
        <v>20076605</v>
      </c>
      <c r="C28" s="36" t="s">
        <v>18</v>
      </c>
      <c r="D28" s="50" t="s">
        <v>74</v>
      </c>
      <c r="E28" s="35" t="s">
        <v>75</v>
      </c>
      <c r="F28" s="35" t="s">
        <v>21</v>
      </c>
      <c r="G28" s="20" t="s">
        <v>22</v>
      </c>
      <c r="H28" s="38"/>
      <c r="I28" s="39">
        <v>345</v>
      </c>
      <c r="J28" s="39">
        <v>193</v>
      </c>
      <c r="K28" s="40">
        <f t="shared" si="3"/>
        <v>152</v>
      </c>
      <c r="L28" s="41">
        <f>O28+Q27+S28+U28+W28+Y28+AA28+AC28+AE28+AG28+AI28+AK28+AM28+AO28+AQ28+AS28+AU28+AW28+AY28+BA28+BC28+BE28+BG28+BI28+BK28+BM28+BO28+BQ28+BS28+BU28+BW28</f>
        <v>0</v>
      </c>
      <c r="M28" s="42">
        <f t="shared" si="5"/>
        <v>193</v>
      </c>
      <c r="N28" s="34"/>
      <c r="O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43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44"/>
      <c r="BX28" s="45">
        <f>P27+R28+T28+V28+X28+Z28+AB28+AD28+AF28+AH28+AJ28+AL28+AN28+AP28+AR28+AT28+AV28+AX28+AZ28+BB28+BD28+BF28+BH28+BJ28+BL28+BN28+BP28+BR28+BT28+BV28+N28</f>
        <v>0</v>
      </c>
      <c r="BY28" s="46">
        <f t="shared" si="0"/>
        <v>152</v>
      </c>
      <c r="BZ28" s="47">
        <f t="shared" si="1"/>
        <v>0.55942028985507242</v>
      </c>
      <c r="CA28" s="48" t="s">
        <v>105</v>
      </c>
    </row>
    <row r="29" spans="1:79" ht="12.9" customHeight="1" thickBot="1" x14ac:dyDescent="0.35">
      <c r="A29" s="34">
        <f t="shared" si="2"/>
        <v>27</v>
      </c>
      <c r="B29" s="35">
        <v>20096623</v>
      </c>
      <c r="C29" s="36" t="s">
        <v>18</v>
      </c>
      <c r="D29" s="50" t="s">
        <v>76</v>
      </c>
      <c r="E29" s="54" t="s">
        <v>77</v>
      </c>
      <c r="F29" s="35" t="s">
        <v>25</v>
      </c>
      <c r="G29" s="20" t="s">
        <v>22</v>
      </c>
      <c r="H29" s="38"/>
      <c r="I29" s="39">
        <v>285</v>
      </c>
      <c r="J29" s="39">
        <v>208</v>
      </c>
      <c r="K29" s="40">
        <f t="shared" si="3"/>
        <v>77</v>
      </c>
      <c r="L29" s="41">
        <f t="shared" si="4"/>
        <v>0</v>
      </c>
      <c r="M29" s="42">
        <f t="shared" si="5"/>
        <v>208</v>
      </c>
      <c r="N29" s="34"/>
      <c r="O29" s="35"/>
      <c r="P29" s="34"/>
      <c r="Q29" s="35"/>
      <c r="R29" s="43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43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44"/>
      <c r="BX29" s="45">
        <f t="shared" si="6"/>
        <v>0</v>
      </c>
      <c r="BY29" s="46">
        <f t="shared" si="0"/>
        <v>77</v>
      </c>
      <c r="BZ29" s="47">
        <f t="shared" si="1"/>
        <v>0.72982456140350882</v>
      </c>
      <c r="CA29" s="48" t="s">
        <v>105</v>
      </c>
    </row>
    <row r="30" spans="1:79" ht="12.9" customHeight="1" thickBot="1" x14ac:dyDescent="0.35">
      <c r="A30" s="34">
        <f t="shared" si="2"/>
        <v>28</v>
      </c>
      <c r="B30" s="35">
        <v>20093881</v>
      </c>
      <c r="C30" s="36" t="s">
        <v>18</v>
      </c>
      <c r="D30" s="50" t="s">
        <v>78</v>
      </c>
      <c r="E30" s="54" t="s">
        <v>79</v>
      </c>
      <c r="F30" s="35" t="s">
        <v>31</v>
      </c>
      <c r="G30" s="20" t="s">
        <v>22</v>
      </c>
      <c r="H30" s="38">
        <v>3</v>
      </c>
      <c r="I30" s="39">
        <v>416</v>
      </c>
      <c r="J30" s="39">
        <v>258</v>
      </c>
      <c r="K30" s="40">
        <f t="shared" si="3"/>
        <v>121</v>
      </c>
      <c r="L30" s="41">
        <f t="shared" si="4"/>
        <v>37</v>
      </c>
      <c r="M30" s="42">
        <f t="shared" si="5"/>
        <v>295</v>
      </c>
      <c r="N30" s="34"/>
      <c r="O30" s="35"/>
      <c r="P30" s="34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>
        <v>4</v>
      </c>
      <c r="AE30" s="35">
        <v>5</v>
      </c>
      <c r="AF30" s="35"/>
      <c r="AG30" s="35"/>
      <c r="AH30" s="35">
        <v>3</v>
      </c>
      <c r="AI30" s="35">
        <v>7</v>
      </c>
      <c r="AJ30" s="35">
        <v>3</v>
      </c>
      <c r="AK30" s="35">
        <v>5</v>
      </c>
      <c r="AL30" s="35"/>
      <c r="AM30" s="35"/>
      <c r="AN30" s="35">
        <v>3</v>
      </c>
      <c r="AO30" s="35">
        <v>10</v>
      </c>
      <c r="AP30" s="35">
        <v>3</v>
      </c>
      <c r="AQ30" s="35">
        <v>4</v>
      </c>
      <c r="AR30" s="35">
        <v>3</v>
      </c>
      <c r="AS30" s="35">
        <v>6</v>
      </c>
      <c r="AT30" s="35">
        <v>4</v>
      </c>
      <c r="AU30" s="35"/>
      <c r="AV30" s="35">
        <v>4</v>
      </c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43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44"/>
      <c r="BX30" s="45">
        <f t="shared" si="6"/>
        <v>27</v>
      </c>
      <c r="BY30" s="46">
        <f t="shared" si="0"/>
        <v>121</v>
      </c>
      <c r="BZ30" s="47">
        <f t="shared" si="1"/>
        <v>0.70913461538461542</v>
      </c>
      <c r="CA30" s="48" t="s">
        <v>105</v>
      </c>
    </row>
    <row r="31" spans="1:79" ht="12.9" customHeight="1" thickBot="1" x14ac:dyDescent="0.35">
      <c r="A31" s="34">
        <f t="shared" si="2"/>
        <v>29</v>
      </c>
      <c r="B31" s="35">
        <v>20096830</v>
      </c>
      <c r="C31" s="36" t="s">
        <v>18</v>
      </c>
      <c r="D31" s="50" t="s">
        <v>80</v>
      </c>
      <c r="E31" s="35" t="s">
        <v>30</v>
      </c>
      <c r="F31" s="35" t="s">
        <v>31</v>
      </c>
      <c r="G31" s="20" t="s">
        <v>22</v>
      </c>
      <c r="H31" s="38"/>
      <c r="I31" s="39">
        <v>436</v>
      </c>
      <c r="J31" s="39">
        <v>370</v>
      </c>
      <c r="K31" s="40">
        <f t="shared" si="3"/>
        <v>66</v>
      </c>
      <c r="L31" s="41">
        <f t="shared" si="4"/>
        <v>0</v>
      </c>
      <c r="M31" s="42">
        <f t="shared" si="5"/>
        <v>370</v>
      </c>
      <c r="N31" s="34"/>
      <c r="O31" s="35"/>
      <c r="P31" s="34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43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44"/>
      <c r="BX31" s="45">
        <f t="shared" si="6"/>
        <v>0</v>
      </c>
      <c r="BY31" s="46">
        <f t="shared" si="0"/>
        <v>66</v>
      </c>
      <c r="BZ31" s="47">
        <f t="shared" si="1"/>
        <v>0.84862385321100919</v>
      </c>
      <c r="CA31" s="48" t="s">
        <v>105</v>
      </c>
    </row>
    <row r="32" spans="1:79" ht="12.9" customHeight="1" thickBot="1" x14ac:dyDescent="0.35">
      <c r="A32" s="34">
        <f t="shared" si="2"/>
        <v>30</v>
      </c>
      <c r="B32" s="35">
        <v>20093899</v>
      </c>
      <c r="C32" s="52" t="s">
        <v>35</v>
      </c>
      <c r="D32" s="36" t="s">
        <v>81</v>
      </c>
      <c r="E32" s="35" t="s">
        <v>42</v>
      </c>
      <c r="F32" s="35" t="s">
        <v>37</v>
      </c>
      <c r="G32" s="20" t="s">
        <v>22</v>
      </c>
      <c r="H32" s="38"/>
      <c r="I32" s="39">
        <v>849</v>
      </c>
      <c r="J32" s="39">
        <v>359</v>
      </c>
      <c r="K32" s="40">
        <f t="shared" si="3"/>
        <v>490</v>
      </c>
      <c r="L32" s="41">
        <f t="shared" si="4"/>
        <v>0</v>
      </c>
      <c r="M32" s="42">
        <f t="shared" si="5"/>
        <v>359</v>
      </c>
      <c r="N32" s="34"/>
      <c r="O32" s="35"/>
      <c r="P32" s="34"/>
      <c r="Q32" s="35"/>
      <c r="R32" s="43"/>
      <c r="S32" s="43"/>
      <c r="T32" s="35"/>
      <c r="U32" s="35"/>
      <c r="V32" s="35"/>
      <c r="W32" s="35"/>
      <c r="X32" s="35"/>
      <c r="Y32" s="35"/>
      <c r="Z32" s="61"/>
      <c r="AA32" s="35"/>
      <c r="AB32" s="35">
        <v>2</v>
      </c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43"/>
      <c r="BH32" s="35"/>
      <c r="BI32" s="35"/>
      <c r="BJ32" s="43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44"/>
      <c r="BX32" s="45">
        <f t="shared" si="6"/>
        <v>2</v>
      </c>
      <c r="BY32" s="46">
        <f t="shared" si="0"/>
        <v>490</v>
      </c>
      <c r="BZ32" s="47">
        <f t="shared" si="1"/>
        <v>0.42285041224970554</v>
      </c>
      <c r="CA32" s="48" t="s">
        <v>105</v>
      </c>
    </row>
    <row r="33" spans="1:79" ht="12.9" customHeight="1" thickBot="1" x14ac:dyDescent="0.35">
      <c r="A33" s="34">
        <f t="shared" si="2"/>
        <v>31</v>
      </c>
      <c r="B33" s="49">
        <v>20109511</v>
      </c>
      <c r="C33" s="36" t="s">
        <v>18</v>
      </c>
      <c r="D33" s="55" t="s">
        <v>82</v>
      </c>
      <c r="E33" s="35" t="s">
        <v>30</v>
      </c>
      <c r="F33" s="35" t="s">
        <v>31</v>
      </c>
      <c r="G33" s="20" t="s">
        <v>22</v>
      </c>
      <c r="H33" s="38"/>
      <c r="I33" s="39">
        <v>701</v>
      </c>
      <c r="J33" s="39">
        <v>379</v>
      </c>
      <c r="K33" s="40">
        <f t="shared" si="3"/>
        <v>322</v>
      </c>
      <c r="L33" s="41">
        <f t="shared" si="4"/>
        <v>0</v>
      </c>
      <c r="M33" s="42">
        <f t="shared" si="5"/>
        <v>379</v>
      </c>
      <c r="N33" s="34"/>
      <c r="O33" s="35"/>
      <c r="P33" s="34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43"/>
      <c r="BH33" s="35"/>
      <c r="BI33" s="35"/>
      <c r="BJ33" s="43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44"/>
      <c r="BX33" s="45">
        <f t="shared" si="6"/>
        <v>0</v>
      </c>
      <c r="BY33" s="46">
        <f t="shared" si="0"/>
        <v>322</v>
      </c>
      <c r="BZ33" s="47">
        <f t="shared" si="1"/>
        <v>0.54065620542082737</v>
      </c>
      <c r="CA33" s="48" t="s">
        <v>105</v>
      </c>
    </row>
    <row r="34" spans="1:79" ht="12.9" customHeight="1" thickBot="1" x14ac:dyDescent="0.35">
      <c r="A34" s="34">
        <f t="shared" si="2"/>
        <v>32</v>
      </c>
      <c r="B34" s="35">
        <v>20102988</v>
      </c>
      <c r="C34" s="36" t="s">
        <v>83</v>
      </c>
      <c r="D34" s="36" t="s">
        <v>84</v>
      </c>
      <c r="E34" s="35" t="s">
        <v>85</v>
      </c>
      <c r="F34" s="35" t="s">
        <v>34</v>
      </c>
      <c r="G34" s="20" t="s">
        <v>22</v>
      </c>
      <c r="H34" s="38"/>
      <c r="I34" s="39">
        <v>701</v>
      </c>
      <c r="J34" s="39">
        <v>198</v>
      </c>
      <c r="K34" s="40">
        <f t="shared" si="3"/>
        <v>503</v>
      </c>
      <c r="L34" s="41">
        <f t="shared" si="4"/>
        <v>0</v>
      </c>
      <c r="M34" s="42">
        <f t="shared" si="5"/>
        <v>198</v>
      </c>
      <c r="N34" s="34"/>
      <c r="O34" s="35"/>
      <c r="P34" s="34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43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44"/>
      <c r="BX34" s="45">
        <f t="shared" si="6"/>
        <v>0</v>
      </c>
      <c r="BY34" s="46">
        <f t="shared" si="0"/>
        <v>503</v>
      </c>
      <c r="BZ34" s="47">
        <f t="shared" si="1"/>
        <v>0.28245363766048504</v>
      </c>
      <c r="CA34" s="48" t="s">
        <v>105</v>
      </c>
    </row>
    <row r="35" spans="1:79" ht="12.9" customHeight="1" thickBot="1" x14ac:dyDescent="0.35">
      <c r="A35" s="34">
        <f t="shared" si="2"/>
        <v>33</v>
      </c>
      <c r="B35" s="35">
        <v>20096831</v>
      </c>
      <c r="C35" s="36" t="s">
        <v>18</v>
      </c>
      <c r="D35" s="36" t="s">
        <v>86</v>
      </c>
      <c r="E35" s="35" t="s">
        <v>73</v>
      </c>
      <c r="F35" s="35" t="s">
        <v>21</v>
      </c>
      <c r="G35" s="20" t="s">
        <v>22</v>
      </c>
      <c r="H35" s="38"/>
      <c r="I35" s="39">
        <v>577.45762711864404</v>
      </c>
      <c r="J35" s="39">
        <v>253</v>
      </c>
      <c r="K35" s="40">
        <f t="shared" si="3"/>
        <v>324.45762711864404</v>
      </c>
      <c r="L35" s="41">
        <f t="shared" si="4"/>
        <v>0</v>
      </c>
      <c r="M35" s="42">
        <f t="shared" si="5"/>
        <v>253</v>
      </c>
      <c r="N35" s="34"/>
      <c r="O35" s="35"/>
      <c r="P35" s="34"/>
      <c r="Q35" s="35"/>
      <c r="R35" s="62"/>
      <c r="S35" s="35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43"/>
      <c r="BK35" s="62"/>
      <c r="BL35" s="61"/>
      <c r="BM35" s="61"/>
      <c r="BN35" s="35"/>
      <c r="BO35" s="35"/>
      <c r="BP35" s="63"/>
      <c r="BQ35" s="63"/>
      <c r="BR35" s="35"/>
      <c r="BS35" s="35"/>
      <c r="BT35" s="62"/>
      <c r="BU35" s="62"/>
      <c r="BV35" s="62"/>
      <c r="BW35" s="64"/>
      <c r="BX35" s="45">
        <f t="shared" si="6"/>
        <v>0</v>
      </c>
      <c r="BY35" s="46">
        <f t="shared" si="0"/>
        <v>324.45762711864404</v>
      </c>
      <c r="BZ35" s="47">
        <f t="shared" si="1"/>
        <v>0.43812738479600821</v>
      </c>
      <c r="CA35" s="48" t="s">
        <v>105</v>
      </c>
    </row>
    <row r="36" spans="1:79" ht="12.9" customHeight="1" thickBot="1" x14ac:dyDescent="0.35">
      <c r="A36" s="34">
        <f t="shared" si="2"/>
        <v>34</v>
      </c>
      <c r="B36" s="35">
        <v>20096755</v>
      </c>
      <c r="C36" s="52" t="s">
        <v>35</v>
      </c>
      <c r="D36" s="50" t="s">
        <v>87</v>
      </c>
      <c r="E36" s="35" t="s">
        <v>73</v>
      </c>
      <c r="F36" s="35" t="s">
        <v>37</v>
      </c>
      <c r="G36" s="20" t="s">
        <v>22</v>
      </c>
      <c r="H36" s="38"/>
      <c r="I36" s="39">
        <v>577</v>
      </c>
      <c r="J36" s="39">
        <v>195</v>
      </c>
      <c r="K36" s="40">
        <f t="shared" si="3"/>
        <v>382</v>
      </c>
      <c r="L36" s="41">
        <f t="shared" si="4"/>
        <v>0</v>
      </c>
      <c r="M36" s="42">
        <f t="shared" si="5"/>
        <v>195</v>
      </c>
      <c r="N36" s="34"/>
      <c r="O36" s="35"/>
      <c r="P36" s="34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43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44"/>
      <c r="BX36" s="45">
        <f t="shared" si="6"/>
        <v>0</v>
      </c>
      <c r="BY36" s="46">
        <f t="shared" si="0"/>
        <v>382</v>
      </c>
      <c r="BZ36" s="47">
        <f t="shared" si="1"/>
        <v>0.33795493934142112</v>
      </c>
      <c r="CA36" s="48" t="s">
        <v>105</v>
      </c>
    </row>
    <row r="37" spans="1:79" ht="12.9" customHeight="1" thickBot="1" x14ac:dyDescent="0.35">
      <c r="A37" s="34">
        <f t="shared" si="2"/>
        <v>35</v>
      </c>
      <c r="B37" s="35">
        <v>20089878</v>
      </c>
      <c r="C37" s="36" t="s">
        <v>18</v>
      </c>
      <c r="D37" s="50" t="s">
        <v>88</v>
      </c>
      <c r="E37" s="35" t="s">
        <v>71</v>
      </c>
      <c r="F37" s="35" t="s">
        <v>21</v>
      </c>
      <c r="G37" s="20" t="s">
        <v>22</v>
      </c>
      <c r="H37" s="38"/>
      <c r="I37" s="39">
        <v>561</v>
      </c>
      <c r="J37" s="39">
        <v>304</v>
      </c>
      <c r="K37" s="40">
        <f t="shared" si="3"/>
        <v>257</v>
      </c>
      <c r="L37" s="41">
        <f t="shared" si="4"/>
        <v>0</v>
      </c>
      <c r="M37" s="42">
        <f t="shared" si="5"/>
        <v>304</v>
      </c>
      <c r="N37" s="34"/>
      <c r="O37" s="35"/>
      <c r="P37" s="34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43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44"/>
      <c r="BX37" s="45">
        <f t="shared" si="6"/>
        <v>0</v>
      </c>
      <c r="BY37" s="46">
        <f t="shared" si="0"/>
        <v>257</v>
      </c>
      <c r="BZ37" s="47">
        <f t="shared" si="1"/>
        <v>0.54188948306595364</v>
      </c>
      <c r="CA37" s="48" t="s">
        <v>105</v>
      </c>
    </row>
    <row r="38" spans="1:79" ht="12.9" customHeight="1" thickBot="1" x14ac:dyDescent="0.35">
      <c r="A38" s="34">
        <f t="shared" si="2"/>
        <v>36</v>
      </c>
      <c r="B38" s="35">
        <v>20076681</v>
      </c>
      <c r="C38" s="36" t="s">
        <v>18</v>
      </c>
      <c r="D38" s="50" t="s">
        <v>89</v>
      </c>
      <c r="E38" s="35" t="s">
        <v>90</v>
      </c>
      <c r="F38" s="35" t="s">
        <v>34</v>
      </c>
      <c r="G38" s="20" t="s">
        <v>22</v>
      </c>
      <c r="H38" s="38"/>
      <c r="I38" s="39">
        <v>659</v>
      </c>
      <c r="J38" s="39">
        <v>295</v>
      </c>
      <c r="K38" s="40">
        <f t="shared" si="3"/>
        <v>355</v>
      </c>
      <c r="L38" s="41">
        <f t="shared" si="4"/>
        <v>9</v>
      </c>
      <c r="M38" s="42">
        <f t="shared" si="5"/>
        <v>304</v>
      </c>
      <c r="N38" s="34"/>
      <c r="O38" s="35"/>
      <c r="P38" s="34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>
        <v>3</v>
      </c>
      <c r="AQ38" s="35">
        <v>9</v>
      </c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43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44"/>
      <c r="BX38" s="45">
        <f t="shared" si="6"/>
        <v>3</v>
      </c>
      <c r="BY38" s="46">
        <f t="shared" si="0"/>
        <v>355</v>
      </c>
      <c r="BZ38" s="47">
        <f t="shared" si="1"/>
        <v>0.4613050075872534</v>
      </c>
      <c r="CA38" s="60"/>
    </row>
    <row r="39" spans="1:79" ht="12.9" customHeight="1" thickBot="1" x14ac:dyDescent="0.35">
      <c r="A39" s="34">
        <f t="shared" si="2"/>
        <v>37</v>
      </c>
      <c r="B39" s="35">
        <v>20076625</v>
      </c>
      <c r="C39" s="36" t="s">
        <v>18</v>
      </c>
      <c r="D39" s="50" t="s">
        <v>91</v>
      </c>
      <c r="E39" s="35" t="s">
        <v>30</v>
      </c>
      <c r="F39" s="35" t="s">
        <v>34</v>
      </c>
      <c r="G39" s="20" t="s">
        <v>22</v>
      </c>
      <c r="H39" s="38"/>
      <c r="I39" s="39">
        <v>556</v>
      </c>
      <c r="J39" s="39">
        <v>189</v>
      </c>
      <c r="K39" s="40">
        <f t="shared" si="3"/>
        <v>367</v>
      </c>
      <c r="L39" s="41">
        <f t="shared" si="4"/>
        <v>0</v>
      </c>
      <c r="M39" s="42">
        <f t="shared" si="5"/>
        <v>189</v>
      </c>
      <c r="N39" s="34"/>
      <c r="O39" s="35"/>
      <c r="P39" s="34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43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44"/>
      <c r="BX39" s="45">
        <f t="shared" si="6"/>
        <v>0</v>
      </c>
      <c r="BY39" s="46">
        <f t="shared" si="0"/>
        <v>367</v>
      </c>
      <c r="BZ39" s="47">
        <f t="shared" si="1"/>
        <v>0.33992805755395683</v>
      </c>
      <c r="CA39" s="51"/>
    </row>
    <row r="40" spans="1:79" ht="12.9" customHeight="1" thickBot="1" x14ac:dyDescent="0.35">
      <c r="A40" s="34">
        <f t="shared" si="2"/>
        <v>38</v>
      </c>
      <c r="B40" s="35">
        <v>20093066</v>
      </c>
      <c r="C40" s="65" t="s">
        <v>92</v>
      </c>
      <c r="D40" s="53" t="s">
        <v>93</v>
      </c>
      <c r="E40" s="36" t="s">
        <v>94</v>
      </c>
      <c r="F40" s="35" t="s">
        <v>28</v>
      </c>
      <c r="G40" s="20" t="s">
        <v>22</v>
      </c>
      <c r="H40" s="38"/>
      <c r="I40" s="39">
        <v>496</v>
      </c>
      <c r="J40" s="39">
        <v>127</v>
      </c>
      <c r="K40" s="40">
        <f t="shared" si="3"/>
        <v>369</v>
      </c>
      <c r="L40" s="41">
        <f t="shared" si="4"/>
        <v>0</v>
      </c>
      <c r="M40" s="42">
        <f t="shared" si="5"/>
        <v>127</v>
      </c>
      <c r="N40" s="34"/>
      <c r="O40" s="35"/>
      <c r="P40" s="34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43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44"/>
      <c r="BX40" s="45">
        <f t="shared" si="6"/>
        <v>0</v>
      </c>
      <c r="BY40" s="46">
        <f t="shared" si="0"/>
        <v>369</v>
      </c>
      <c r="BZ40" s="47">
        <f t="shared" si="1"/>
        <v>0.25604838709677419</v>
      </c>
      <c r="CA40" s="51"/>
    </row>
    <row r="41" spans="1:79" ht="12.9" customHeight="1" thickBot="1" x14ac:dyDescent="0.35">
      <c r="A41" s="34">
        <f t="shared" si="2"/>
        <v>39</v>
      </c>
      <c r="B41" s="35">
        <v>20096742</v>
      </c>
      <c r="C41" s="36" t="s">
        <v>95</v>
      </c>
      <c r="D41" s="50" t="s">
        <v>96</v>
      </c>
      <c r="E41" s="35" t="s">
        <v>30</v>
      </c>
      <c r="F41" s="35" t="s">
        <v>28</v>
      </c>
      <c r="G41" s="20" t="s">
        <v>22</v>
      </c>
      <c r="H41" s="38"/>
      <c r="I41" s="39">
        <v>849</v>
      </c>
      <c r="J41" s="39">
        <v>597</v>
      </c>
      <c r="K41" s="40">
        <f t="shared" si="3"/>
        <v>252</v>
      </c>
      <c r="L41" s="41">
        <f t="shared" si="4"/>
        <v>0</v>
      </c>
      <c r="M41" s="42">
        <f t="shared" si="5"/>
        <v>597</v>
      </c>
      <c r="N41" s="34"/>
      <c r="O41" s="35"/>
      <c r="P41" s="34"/>
      <c r="Q41" s="35"/>
      <c r="R41" s="43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43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44"/>
      <c r="BX41" s="45">
        <f t="shared" si="6"/>
        <v>0</v>
      </c>
      <c r="BY41" s="46">
        <f t="shared" si="0"/>
        <v>252</v>
      </c>
      <c r="BZ41" s="47">
        <f t="shared" si="1"/>
        <v>0.70318021201413428</v>
      </c>
      <c r="CA41" s="60"/>
    </row>
    <row r="42" spans="1:79" ht="12.9" customHeight="1" thickBot="1" x14ac:dyDescent="0.35">
      <c r="A42" s="34">
        <f t="shared" si="2"/>
        <v>40</v>
      </c>
      <c r="B42" s="35">
        <v>20093870</v>
      </c>
      <c r="C42" s="52" t="s">
        <v>35</v>
      </c>
      <c r="D42" s="50" t="s">
        <v>97</v>
      </c>
      <c r="E42" s="35" t="s">
        <v>98</v>
      </c>
      <c r="F42" s="35" t="s">
        <v>34</v>
      </c>
      <c r="G42" s="20" t="s">
        <v>22</v>
      </c>
      <c r="H42" s="38"/>
      <c r="I42" s="39">
        <v>547</v>
      </c>
      <c r="J42" s="39">
        <v>268</v>
      </c>
      <c r="K42" s="40">
        <f t="shared" si="3"/>
        <v>279</v>
      </c>
      <c r="L42" s="41">
        <f>O42+Q42+S42+U42+W42+Y42+AA42+AC42+AE42+AG41+AI42+AK42+AM42+AO42+AQ42+AS42+AU42+AW42+AY42+BA42+BC42+BE42+BG42+BI42+BK42+BM42+BO42+BQ42+BS42+BU42+BW42</f>
        <v>0</v>
      </c>
      <c r="M42" s="42">
        <f t="shared" si="5"/>
        <v>268</v>
      </c>
      <c r="N42" s="34"/>
      <c r="O42" s="35"/>
      <c r="P42" s="34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43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43"/>
      <c r="AY42" s="43"/>
      <c r="AZ42" s="35"/>
      <c r="BA42" s="35"/>
      <c r="BB42" s="35"/>
      <c r="BC42" s="35"/>
      <c r="BD42" s="35"/>
      <c r="BE42" s="35"/>
      <c r="BF42" s="35"/>
      <c r="BG42" s="43"/>
      <c r="BH42" s="35"/>
      <c r="BI42" s="35"/>
      <c r="BJ42" s="43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44"/>
      <c r="BX42" s="45">
        <f t="shared" si="6"/>
        <v>0</v>
      </c>
      <c r="BY42" s="46">
        <f t="shared" si="0"/>
        <v>279</v>
      </c>
      <c r="BZ42" s="47">
        <f t="shared" si="1"/>
        <v>0.489945155393053</v>
      </c>
      <c r="CA42" s="51"/>
    </row>
    <row r="43" spans="1:79" ht="12.9" customHeight="1" thickBot="1" x14ac:dyDescent="0.35">
      <c r="A43" s="34">
        <f t="shared" si="2"/>
        <v>41</v>
      </c>
      <c r="B43" s="35">
        <v>20101827</v>
      </c>
      <c r="C43" s="36" t="s">
        <v>18</v>
      </c>
      <c r="D43" s="36" t="s">
        <v>99</v>
      </c>
      <c r="E43" s="35" t="s">
        <v>94</v>
      </c>
      <c r="F43" s="35" t="s">
        <v>21</v>
      </c>
      <c r="G43" s="20" t="s">
        <v>22</v>
      </c>
      <c r="H43" s="38"/>
      <c r="I43" s="39">
        <v>441</v>
      </c>
      <c r="J43" s="39">
        <v>139</v>
      </c>
      <c r="K43" s="40">
        <f t="shared" si="3"/>
        <v>302</v>
      </c>
      <c r="L43" s="41">
        <f>O43+Q43+S43+U43+W43+Y43+AA43+AC43+AE43+AG43+AI43+AK43+AM43+AO43+AQ43+AS43+AU43+AW43+AY43+BA43+BC43+BE43+BG43+BI43+BK43+BM43+BO43+BQ43+BS43+BU43+BW43</f>
        <v>0</v>
      </c>
      <c r="M43" s="42">
        <f t="shared" si="5"/>
        <v>139</v>
      </c>
      <c r="N43" s="34"/>
      <c r="O43" s="35"/>
      <c r="P43" s="34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66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43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44"/>
      <c r="BX43" s="45">
        <f t="shared" si="6"/>
        <v>0</v>
      </c>
      <c r="BY43" s="46">
        <f t="shared" si="0"/>
        <v>302</v>
      </c>
      <c r="BZ43" s="47">
        <f t="shared" si="1"/>
        <v>0.31519274376417233</v>
      </c>
      <c r="CA43" s="51"/>
    </row>
    <row r="44" spans="1:79" ht="12.9" customHeight="1" thickBot="1" x14ac:dyDescent="0.35">
      <c r="A44" s="34">
        <f t="shared" si="2"/>
        <v>42</v>
      </c>
      <c r="B44" s="35">
        <v>20101920</v>
      </c>
      <c r="C44" s="36" t="s">
        <v>18</v>
      </c>
      <c r="D44" s="50" t="s">
        <v>100</v>
      </c>
      <c r="E44" s="35" t="s">
        <v>101</v>
      </c>
      <c r="F44" s="35" t="s">
        <v>25</v>
      </c>
      <c r="G44" s="20" t="s">
        <v>22</v>
      </c>
      <c r="H44" s="38"/>
      <c r="I44" s="39">
        <v>835</v>
      </c>
      <c r="J44" s="39">
        <v>235</v>
      </c>
      <c r="K44" s="40">
        <f t="shared" si="3"/>
        <v>600</v>
      </c>
      <c r="L44" s="41">
        <f>O44+Q44+S44+U44+W44+Y44+AA44+AC44+AE44+AG44+AI44+AK44+AM44+AO44+AQ44+AS44+AU44+AW44+AY44+BA44+BC44+BE44+BG44+BI44+BK44+BM44+BO44+BQ44+BS44+BU44+BW44</f>
        <v>0</v>
      </c>
      <c r="M44" s="42">
        <f t="shared" si="5"/>
        <v>235</v>
      </c>
      <c r="N44" s="34"/>
      <c r="O44" s="35"/>
      <c r="P44" s="34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43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44"/>
      <c r="BX44" s="45">
        <f t="shared" si="6"/>
        <v>0</v>
      </c>
      <c r="BY44" s="46">
        <f t="shared" si="0"/>
        <v>600</v>
      </c>
      <c r="BZ44" s="47">
        <f t="shared" si="1"/>
        <v>0.28143712574850299</v>
      </c>
      <c r="CA44" s="51"/>
    </row>
    <row r="45" spans="1:79" ht="12.9" customHeight="1" thickBot="1" x14ac:dyDescent="0.35">
      <c r="A45" s="34">
        <f t="shared" si="2"/>
        <v>43</v>
      </c>
      <c r="B45" s="35">
        <v>20076710</v>
      </c>
      <c r="C45" s="36" t="s">
        <v>18</v>
      </c>
      <c r="D45" s="50" t="s">
        <v>102</v>
      </c>
      <c r="E45" s="35" t="s">
        <v>27</v>
      </c>
      <c r="F45" s="35" t="s">
        <v>25</v>
      </c>
      <c r="G45" s="20" t="s">
        <v>22</v>
      </c>
      <c r="H45" s="38"/>
      <c r="I45" s="39">
        <v>387</v>
      </c>
      <c r="J45" s="39">
        <v>291</v>
      </c>
      <c r="K45" s="40">
        <f t="shared" si="3"/>
        <v>96</v>
      </c>
      <c r="L45" s="41">
        <f>O45+Q45+S45+U45+W45+Y45+AA45+AC45+AE45+AG45+AI45+AK45+AM45+AO45+AQ45+AS45+AU45+AW45+AY45+BA45+BC45+BE45+BG45+BI45+BK45+BM45+BO45+BQ45+BS45+BU45+BW45</f>
        <v>0</v>
      </c>
      <c r="M45" s="42">
        <f t="shared" si="5"/>
        <v>291</v>
      </c>
      <c r="N45" s="34"/>
      <c r="O45" s="35"/>
      <c r="P45" s="34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43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44"/>
      <c r="BX45" s="45">
        <f t="shared" si="6"/>
        <v>0</v>
      </c>
      <c r="BY45" s="46">
        <f t="shared" si="0"/>
        <v>96</v>
      </c>
      <c r="BZ45" s="47">
        <f t="shared" si="1"/>
        <v>0.75193798449612403</v>
      </c>
      <c r="CA45" s="51"/>
    </row>
    <row r="46" spans="1:79" ht="12.9" customHeight="1" thickBot="1" x14ac:dyDescent="0.35">
      <c r="A46" s="67">
        <f t="shared" si="2"/>
        <v>44</v>
      </c>
      <c r="B46" s="68">
        <v>20076409</v>
      </c>
      <c r="C46" s="52" t="s">
        <v>35</v>
      </c>
      <c r="D46" s="69" t="s">
        <v>103</v>
      </c>
      <c r="E46" s="68" t="s">
        <v>104</v>
      </c>
      <c r="F46" s="68" t="s">
        <v>21</v>
      </c>
      <c r="G46" s="20" t="s">
        <v>22</v>
      </c>
      <c r="H46" s="70"/>
      <c r="I46" s="71">
        <v>528</v>
      </c>
      <c r="J46" s="71">
        <v>289</v>
      </c>
      <c r="K46" s="72">
        <f t="shared" si="3"/>
        <v>239</v>
      </c>
      <c r="L46" s="73">
        <f>O46+Q46+S46+U46+W46+Y46+AA46+AC46+AE46+AG46+AI46+AK46+AM46+AO46+AQ46+AS46+AU46+AW46+AY46+BA46+BC46+BE46+BG46+BI46+BK46+BM46+BO46+BQ46+BS46+BU46+BW46</f>
        <v>0</v>
      </c>
      <c r="M46" s="74">
        <f t="shared" si="5"/>
        <v>289</v>
      </c>
      <c r="N46" s="67"/>
      <c r="O46" s="68"/>
      <c r="P46" s="67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75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76"/>
      <c r="BX46" s="77">
        <f t="shared" si="6"/>
        <v>0</v>
      </c>
      <c r="BY46" s="78">
        <f t="shared" si="0"/>
        <v>239</v>
      </c>
      <c r="BZ46" s="58">
        <f t="shared" si="1"/>
        <v>0.54734848484848486</v>
      </c>
      <c r="CA46" s="51"/>
    </row>
    <row r="47" spans="1:79" x14ac:dyDescent="0.3">
      <c r="E47" s="1"/>
      <c r="K47" s="79"/>
    </row>
    <row r="48" spans="1:79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</sheetData>
  <mergeCells count="32">
    <mergeCell ref="AJ1:AK1"/>
    <mergeCell ref="E1: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BH1:BI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V1:BW1"/>
    <mergeCell ref="BJ1:BK1"/>
    <mergeCell ref="BL1:BM1"/>
    <mergeCell ref="BN1:BO1"/>
    <mergeCell ref="BP1:BQ1"/>
    <mergeCell ref="BR1:BS1"/>
    <mergeCell ref="BT1:BU1"/>
  </mergeCells>
  <conditionalFormatting sqref="D1:D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2025-04-21T08:20:42Z</dcterms:modified>
</cp:coreProperties>
</file>