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rive F\Adisesh Projects\"/>
    </mc:Choice>
  </mc:AlternateContent>
  <xr:revisionPtr revIDLastSave="0" documentId="13_ncr:1_{53F82D6E-E809-497E-8D68-15359DC1FA6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roup Details" sheetId="7" r:id="rId1"/>
    <sheet name="Completed projects" sheetId="2" r:id="rId2"/>
    <sheet name="Ongoing projects" sheetId="3" r:id="rId3"/>
    <sheet name="Upcoming" sheetId="9" r:id="rId4"/>
    <sheet name="Land Bank" sheetId="8" r:id="rId5"/>
    <sheet name="Debt profile" sheetId="6" r:id="rId6"/>
  </sheets>
  <externalReferences>
    <externalReference r:id="rId7"/>
  </externalReferences>
  <definedNames>
    <definedName name="lac">[1]Viability!$C$68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3" l="1"/>
  <c r="N9" i="2"/>
  <c r="P4" i="3"/>
  <c r="I4" i="9" l="1"/>
  <c r="J4" i="9"/>
  <c r="L4" i="9"/>
  <c r="L3" i="9"/>
  <c r="G9" i="8"/>
  <c r="F8" i="8"/>
  <c r="F7" i="8"/>
  <c r="F6" i="8"/>
  <c r="Q4" i="3"/>
  <c r="N11" i="2"/>
  <c r="L5" i="9" l="1"/>
  <c r="D30" i="7"/>
  <c r="I3" i="9"/>
  <c r="N4" i="2" l="1"/>
  <c r="N6" i="2"/>
  <c r="N8" i="2"/>
  <c r="N5" i="2"/>
  <c r="N7" i="2"/>
  <c r="N3" i="2"/>
  <c r="L12" i="2"/>
  <c r="K12" i="2"/>
  <c r="N12" i="2" l="1"/>
  <c r="F5" i="8"/>
  <c r="H4" i="8"/>
  <c r="F4" i="8"/>
  <c r="H3" i="8"/>
  <c r="F3" i="8"/>
  <c r="L8" i="6"/>
  <c r="K6" i="6"/>
  <c r="K7" i="6"/>
  <c r="I5" i="6"/>
  <c r="J5" i="6" s="1"/>
  <c r="J4" i="6"/>
  <c r="K4" i="6" s="1"/>
  <c r="K5" i="9"/>
  <c r="J5" i="9"/>
  <c r="F5" i="9"/>
  <c r="I8" i="6" l="1"/>
  <c r="H9" i="8"/>
  <c r="J8" i="6"/>
  <c r="K5" i="6"/>
  <c r="K8" i="6" s="1"/>
  <c r="I5" i="9"/>
  <c r="F12" i="2"/>
  <c r="D17" i="7" l="1"/>
  <c r="D11" i="7"/>
  <c r="D23" i="7"/>
  <c r="D5" i="7"/>
  <c r="Y5" i="3" l="1"/>
  <c r="W5" i="3"/>
  <c r="U5" i="3"/>
  <c r="Q5" i="3"/>
  <c r="P5" i="3"/>
  <c r="M5" i="3"/>
  <c r="L5" i="3"/>
  <c r="J5" i="3"/>
  <c r="I5" i="3"/>
  <c r="R4" i="3"/>
  <c r="N4" i="3"/>
  <c r="S4" i="3" s="1"/>
  <c r="O4" i="3" s="1"/>
  <c r="K4" i="3"/>
  <c r="S5" i="3" l="1"/>
  <c r="N5" i="3"/>
  <c r="K5" i="3"/>
  <c r="O5" i="3"/>
  <c r="R5" i="3"/>
  <c r="T5" i="3"/>
  <c r="V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Prakash</author>
  </authors>
  <commentList>
    <comment ref="I4" authorId="0" shapeId="0" xr:uid="{B5D283AA-A026-4800-8E2C-CB00439FF2D8}">
      <text>
        <r>
          <rPr>
            <b/>
            <sz val="9"/>
            <color indexed="81"/>
            <rFont val="Tahoma"/>
            <family val="2"/>
          </rPr>
          <t xml:space="preserve">Lease rentals of R.20 per month capitalised at 9%
</t>
        </r>
      </text>
    </comment>
  </commentList>
</comments>
</file>

<file path=xl/sharedStrings.xml><?xml version="1.0" encoding="utf-8"?>
<sst xmlns="http://schemas.openxmlformats.org/spreadsheetml/2006/main" count="249" uniqueCount="151">
  <si>
    <t>Project Name</t>
  </si>
  <si>
    <t>Total</t>
  </si>
  <si>
    <t>S.No.</t>
  </si>
  <si>
    <t>Project owning entity</t>
  </si>
  <si>
    <t>Location</t>
  </si>
  <si>
    <t>Year of Commencement</t>
  </si>
  <si>
    <t>Year of Completion</t>
  </si>
  <si>
    <t>Units details</t>
  </si>
  <si>
    <t>Area details</t>
  </si>
  <si>
    <t>Approvals and Construction</t>
  </si>
  <si>
    <t>Project Owning Entity</t>
  </si>
  <si>
    <t>Total Units</t>
  </si>
  <si>
    <t>Sold units</t>
  </si>
  <si>
    <t xml:space="preserve">Unsold Units </t>
  </si>
  <si>
    <t>Total Saleable Area in Sft.</t>
  </si>
  <si>
    <t xml:space="preserve">Total Expected Sales Value </t>
  </si>
  <si>
    <t>Sales value of sold area</t>
  </si>
  <si>
    <t>Receipts from area already sold</t>
  </si>
  <si>
    <t>Balance receivable from sold area</t>
  </si>
  <si>
    <t xml:space="preserve">Sales Value of Unsold area </t>
  </si>
  <si>
    <t>Total Cost of the Project</t>
  </si>
  <si>
    <t>Total Cost incurred</t>
  </si>
  <si>
    <t>Cost to be incurred</t>
  </si>
  <si>
    <t>Existing sanction loan amount, if any</t>
  </si>
  <si>
    <t>Name of Bank/FI</t>
  </si>
  <si>
    <t>O/S Debt</t>
  </si>
  <si>
    <t>Approval Status</t>
  </si>
  <si>
    <t xml:space="preserve">Stage of Construction </t>
  </si>
  <si>
    <t xml:space="preserve">Total </t>
  </si>
  <si>
    <t>Sales Value (Rs.in Crs)</t>
  </si>
  <si>
    <t>Cost details (Rs.in Crs)</t>
  </si>
  <si>
    <t>Loan details (Rs.in crs)</t>
  </si>
  <si>
    <t>Debt Profile of the Group</t>
  </si>
  <si>
    <t>Sr No</t>
  </si>
  <si>
    <t>Borrower's Name</t>
  </si>
  <si>
    <t>Name of the Bank/FI</t>
  </si>
  <si>
    <t>Type of Loan</t>
  </si>
  <si>
    <t>Security Offered / Project Name</t>
  </si>
  <si>
    <t>ROI</t>
  </si>
  <si>
    <t>Sanctioned date</t>
  </si>
  <si>
    <t>Sanctioned amount</t>
  </si>
  <si>
    <t>Disbursed amount</t>
  </si>
  <si>
    <t>Amount yet to be Disbursed</t>
  </si>
  <si>
    <t>Outstanding amount as on date</t>
  </si>
  <si>
    <t>List of Completed Projects of the Group</t>
  </si>
  <si>
    <t>Ongoing Projects of the Group</t>
  </si>
  <si>
    <t>% Holding</t>
  </si>
  <si>
    <t>Sl.no.</t>
  </si>
  <si>
    <t>Name of Partner</t>
  </si>
  <si>
    <t>Profit sharing ratio</t>
  </si>
  <si>
    <t>Adisesh Projects</t>
  </si>
  <si>
    <t>Adisesh Developers Pvt Ltd</t>
  </si>
  <si>
    <t>Adisesh Infrastructure Pvt Ltd</t>
  </si>
  <si>
    <t>PVJ Projects Pvt ltd</t>
  </si>
  <si>
    <t>Suman Rani</t>
  </si>
  <si>
    <t>Pardeep Vats</t>
  </si>
  <si>
    <t>Suresh Kumar</t>
  </si>
  <si>
    <t>Relationship</t>
  </si>
  <si>
    <t>Promoter</t>
  </si>
  <si>
    <t>Nephew of Promoter</t>
  </si>
  <si>
    <t>Spouse of Promoter</t>
  </si>
  <si>
    <t>Green City-2</t>
  </si>
  <si>
    <t>Green City-3</t>
  </si>
  <si>
    <t>Green City-4</t>
  </si>
  <si>
    <t>Palm Tree -1</t>
  </si>
  <si>
    <t>Palm Tree -2</t>
  </si>
  <si>
    <t>Surya Infrastructure</t>
  </si>
  <si>
    <t>Total Saleable Area (In Sq.ft.)</t>
  </si>
  <si>
    <t>Type</t>
  </si>
  <si>
    <t>Narasapura,Bengaluru</t>
  </si>
  <si>
    <t>Tyavanahalli,Bengaluru</t>
  </si>
  <si>
    <t>Resi-plots</t>
  </si>
  <si>
    <t>Marasandra,Whitefield</t>
  </si>
  <si>
    <t>Adisesh Prime-2</t>
  </si>
  <si>
    <t>Details of Upcoming Projects of the Group</t>
  </si>
  <si>
    <t>(Rs.in crs)</t>
  </si>
  <si>
    <t>Sr. No.</t>
  </si>
  <si>
    <t>Total Saleable Area (in Sq.ft.)</t>
  </si>
  <si>
    <t>Expected Start date</t>
  </si>
  <si>
    <t>Expected Completion date</t>
  </si>
  <si>
    <t xml:space="preserve">Expect Sales value </t>
  </si>
  <si>
    <t>Expected Total cost</t>
  </si>
  <si>
    <t>Cost incurred till date</t>
  </si>
  <si>
    <t>Green City-Ph 5</t>
  </si>
  <si>
    <r>
      <t xml:space="preserve">Sold area </t>
    </r>
    <r>
      <rPr>
        <b/>
        <i/>
        <sz val="11"/>
        <rFont val="Book Antiqua"/>
        <family val="1"/>
      </rPr>
      <t>(In Sq Ft)</t>
    </r>
  </si>
  <si>
    <r>
      <t xml:space="preserve">Unsold Area </t>
    </r>
    <r>
      <rPr>
        <b/>
        <i/>
        <sz val="11"/>
        <rFont val="Book Antiqua"/>
        <family val="1"/>
      </rPr>
      <t>(In Sq Ft)</t>
    </r>
  </si>
  <si>
    <t xml:space="preserve">Type of Project </t>
  </si>
  <si>
    <t>Alahalli,Bengaluru</t>
  </si>
  <si>
    <t>-</t>
  </si>
  <si>
    <t>All approvals recd.</t>
  </si>
  <si>
    <t>April,2025</t>
  </si>
  <si>
    <t>Dec,2026</t>
  </si>
  <si>
    <t xml:space="preserve">Type of the Project </t>
  </si>
  <si>
    <t>Adisesh projects</t>
  </si>
  <si>
    <t>Start month &amp; year</t>
  </si>
  <si>
    <t>Completion month &amp; year</t>
  </si>
  <si>
    <t>PVJ Projects Pvt Ltd</t>
  </si>
  <si>
    <t>IMT Kharkhoda,Haryana</t>
  </si>
  <si>
    <t>IMT Kharkhoda</t>
  </si>
  <si>
    <t>Sept,2025</t>
  </si>
  <si>
    <t>Sulibele</t>
  </si>
  <si>
    <t>Uddapanhalli</t>
  </si>
  <si>
    <t>Texterity Pvt Ltd (Jiraaf)</t>
  </si>
  <si>
    <t>NCD</t>
  </si>
  <si>
    <t>Against Boulevard inventory</t>
  </si>
  <si>
    <t>Against Adisesh spaces Plots</t>
  </si>
  <si>
    <t>SBI</t>
  </si>
  <si>
    <t>India Bulls</t>
  </si>
  <si>
    <t>Car Loan</t>
  </si>
  <si>
    <t>Overdraft</t>
  </si>
  <si>
    <t>Loan</t>
  </si>
  <si>
    <t>Benz Car</t>
  </si>
  <si>
    <t>Type (Resi/Comm)</t>
  </si>
  <si>
    <t>Name of the entity holding Development Rights</t>
  </si>
  <si>
    <t>Land Area (Sq. Ft.)</t>
  </si>
  <si>
    <t>Kothhmodhgu-Hosur</t>
  </si>
  <si>
    <t>Warehouse</t>
  </si>
  <si>
    <t>100% share PVJ-Aggregation being done for Black stone-under term sheet</t>
  </si>
  <si>
    <t>Narsapura</t>
  </si>
  <si>
    <t>Green City Phase 6 &amp; 7</t>
  </si>
  <si>
    <t>Residential Plotted</t>
  </si>
  <si>
    <t>100% share Adisesh_Agri status</t>
  </si>
  <si>
    <t>Land Bank</t>
  </si>
  <si>
    <t>Unsold units</t>
  </si>
  <si>
    <t>Unsold area</t>
  </si>
  <si>
    <t>Axis Bank</t>
  </si>
  <si>
    <t>Own</t>
  </si>
  <si>
    <t>Rate per sq.ft</t>
  </si>
  <si>
    <t>Own/JDA</t>
  </si>
  <si>
    <t>Boulevard-1</t>
  </si>
  <si>
    <t>Boulevard-2</t>
  </si>
  <si>
    <t>Unsold value in crs</t>
  </si>
  <si>
    <t>Name of Shareholder</t>
  </si>
  <si>
    <t>Surya Infrastructure-Partnership firm</t>
  </si>
  <si>
    <t>Harshvardhan</t>
  </si>
  <si>
    <t>Business Partner</t>
  </si>
  <si>
    <t>Commercial Plots in KIADB Industrial Estate,Narasapura (Personal property in the name of the promoter)</t>
  </si>
  <si>
    <t>Green City -1</t>
  </si>
  <si>
    <t>Boulevard Ph I &amp; II developed by Adisesh Projects and later some units were transferred to Adisesh Developers Pvt Ltd and presently all unsold units in Adisesh Developers Pvt Ltd</t>
  </si>
  <si>
    <t>Details</t>
  </si>
  <si>
    <t>Feb,2025</t>
  </si>
  <si>
    <t>Warehousing</t>
  </si>
  <si>
    <t>Pending cost</t>
  </si>
  <si>
    <t>Book value (in crs)</t>
  </si>
  <si>
    <t>Market Value of land (in Cr.)</t>
  </si>
  <si>
    <t>Industrial IT Park &amp; Warehouse</t>
  </si>
  <si>
    <t>Land parcel-20 acres.100% share PVJ.CLU applied for Industrial land.16 acres to be sold as Industrial plot to Shri Krishna Maruthi and 4 acres to developed into warehouse and let out on lease.</t>
  </si>
  <si>
    <t>Industrial Model Township (IMT) Kharkhoda,Haryana</t>
  </si>
  <si>
    <t>June,25</t>
  </si>
  <si>
    <t>Adisesh Prime I</t>
  </si>
  <si>
    <t>Club House work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</si>
</sst>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Verdan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b/>
      <u/>
      <sz val="11"/>
      <color theme="1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u/>
      <sz val="11"/>
      <name val="Book Antiqua"/>
      <family val="1"/>
    </font>
    <font>
      <b/>
      <i/>
      <sz val="11"/>
      <name val="Book Antiqua"/>
      <family val="1"/>
    </font>
    <font>
      <sz val="11"/>
      <color theme="1"/>
      <name val="Cambri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6" fillId="0" borderId="0" xfId="0" applyFont="1"/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9" fontId="10" fillId="0" borderId="1" xfId="0" applyNumberFormat="1" applyFont="1" applyBorder="1"/>
    <xf numFmtId="9" fontId="10" fillId="0" borderId="1" xfId="6" applyFont="1" applyBorder="1"/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2" fillId="2" borderId="1" xfId="2" applyFont="1" applyFill="1" applyBorder="1" applyAlignment="1">
      <alignment horizontal="left" vertical="top" wrapText="1"/>
    </xf>
    <xf numFmtId="49" fontId="12" fillId="2" borderId="1" xfId="2" applyNumberFormat="1" applyFont="1" applyFill="1" applyBorder="1" applyAlignment="1">
      <alignment horizontal="left" vertical="top" wrapText="1"/>
    </xf>
    <xf numFmtId="0" fontId="13" fillId="0" borderId="1" xfId="2" applyFont="1" applyBorder="1" applyAlignment="1">
      <alignment horizontal="center" vertical="top" wrapText="1"/>
    </xf>
    <xf numFmtId="0" fontId="13" fillId="0" borderId="1" xfId="2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center"/>
    </xf>
    <xf numFmtId="2" fontId="13" fillId="0" borderId="1" xfId="0" applyNumberFormat="1" applyFont="1" applyBorder="1"/>
    <xf numFmtId="164" fontId="10" fillId="0" borderId="6" xfId="0" applyNumberFormat="1" applyFont="1" applyBorder="1" applyAlignment="1">
      <alignment horizontal="center" vertical="center"/>
    </xf>
    <xf numFmtId="164" fontId="12" fillId="2" borderId="1" xfId="2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vertical="top"/>
    </xf>
    <xf numFmtId="0" fontId="14" fillId="0" borderId="2" xfId="0" applyFont="1" applyBorder="1" applyAlignment="1">
      <alignment horizontal="left"/>
    </xf>
    <xf numFmtId="0" fontId="13" fillId="0" borderId="0" xfId="0" applyFont="1" applyAlignment="1">
      <alignment horizontal="left" vertical="top"/>
    </xf>
    <xf numFmtId="0" fontId="13" fillId="0" borderId="0" xfId="0" applyFont="1"/>
    <xf numFmtId="0" fontId="12" fillId="0" borderId="2" xfId="0" applyFont="1" applyBorder="1" applyAlignment="1">
      <alignment horizontal="left"/>
    </xf>
    <xf numFmtId="0" fontId="12" fillId="3" borderId="1" xfId="2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left"/>
    </xf>
    <xf numFmtId="164" fontId="13" fillId="0" borderId="1" xfId="1" applyNumberFormat="1" applyFont="1" applyFill="1" applyBorder="1" applyAlignment="1">
      <alignment vertical="center" wrapText="1"/>
    </xf>
    <xf numFmtId="17" fontId="13" fillId="0" borderId="1" xfId="0" applyNumberFormat="1" applyFont="1" applyBorder="1" applyAlignment="1">
      <alignment horizontal="center"/>
    </xf>
    <xf numFmtId="0" fontId="12" fillId="3" borderId="1" xfId="2" applyFont="1" applyFill="1" applyBorder="1" applyAlignment="1">
      <alignment horizontal="center" vertical="top" wrapText="1"/>
    </xf>
    <xf numFmtId="164" fontId="12" fillId="3" borderId="1" xfId="1" applyNumberFormat="1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vertical="top"/>
    </xf>
    <xf numFmtId="0" fontId="9" fillId="2" borderId="3" xfId="0" applyFont="1" applyFill="1" applyBorder="1" applyAlignment="1">
      <alignment vertical="top" wrapText="1"/>
    </xf>
    <xf numFmtId="0" fontId="9" fillId="2" borderId="3" xfId="0" applyFont="1" applyFill="1" applyBorder="1" applyAlignment="1">
      <alignment horizontal="left" vertical="top" wrapText="1"/>
    </xf>
    <xf numFmtId="0" fontId="8" fillId="0" borderId="4" xfId="0" applyFont="1" applyBorder="1"/>
    <xf numFmtId="0" fontId="9" fillId="2" borderId="5" xfId="0" applyFont="1" applyFill="1" applyBorder="1" applyAlignment="1">
      <alignment horizontal="center"/>
    </xf>
    <xf numFmtId="0" fontId="8" fillId="0" borderId="0" xfId="0" applyFont="1" applyAlignment="1">
      <alignment vertical="top"/>
    </xf>
    <xf numFmtId="17" fontId="13" fillId="0" borderId="1" xfId="2" applyNumberFormat="1" applyFont="1" applyBorder="1" applyAlignment="1">
      <alignment horizontal="left" vertical="top" wrapText="1"/>
    </xf>
    <xf numFmtId="43" fontId="12" fillId="3" borderId="1" xfId="1" applyFont="1" applyFill="1" applyBorder="1" applyAlignment="1">
      <alignment horizontal="left" vertical="top" wrapText="1"/>
    </xf>
    <xf numFmtId="164" fontId="12" fillId="3" borderId="1" xfId="1" applyNumberFormat="1" applyFont="1" applyFill="1" applyBorder="1" applyAlignment="1">
      <alignment horizontal="left" vertical="top" wrapText="1"/>
    </xf>
    <xf numFmtId="43" fontId="12" fillId="3" borderId="1" xfId="1" applyFont="1" applyFill="1" applyBorder="1" applyAlignment="1">
      <alignment horizontal="right" vertical="top" wrapText="1"/>
    </xf>
    <xf numFmtId="43" fontId="12" fillId="3" borderId="1" xfId="1" applyFont="1" applyFill="1" applyBorder="1" applyAlignment="1">
      <alignment horizontal="center" vertical="top" wrapText="1"/>
    </xf>
    <xf numFmtId="43" fontId="8" fillId="0" borderId="4" xfId="0" applyNumberFormat="1" applyFont="1" applyBorder="1"/>
    <xf numFmtId="43" fontId="9" fillId="2" borderId="5" xfId="0" applyNumberFormat="1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wrapText="1"/>
    </xf>
    <xf numFmtId="9" fontId="10" fillId="0" borderId="1" xfId="6" applyFont="1" applyFill="1" applyBorder="1" applyAlignment="1">
      <alignment vertical="top" wrapText="1"/>
    </xf>
    <xf numFmtId="17" fontId="10" fillId="0" borderId="1" xfId="0" applyNumberFormat="1" applyFont="1" applyBorder="1" applyAlignment="1">
      <alignment vertical="top" wrapText="1"/>
    </xf>
    <xf numFmtId="43" fontId="10" fillId="0" borderId="1" xfId="1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17" fontId="10" fillId="0" borderId="1" xfId="0" quotePrefix="1" applyNumberFormat="1" applyFont="1" applyBorder="1" applyAlignment="1">
      <alignment vertical="top" wrapText="1"/>
    </xf>
    <xf numFmtId="17" fontId="10" fillId="0" borderId="1" xfId="0" quotePrefix="1" applyNumberFormat="1" applyFont="1" applyBorder="1" applyAlignment="1">
      <alignment vertical="top"/>
    </xf>
    <xf numFmtId="43" fontId="10" fillId="0" borderId="1" xfId="1" applyFont="1" applyFill="1" applyBorder="1" applyAlignment="1">
      <alignment vertical="top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0" fillId="0" borderId="0" xfId="0" applyFont="1" applyAlignment="1">
      <alignment wrapText="1"/>
    </xf>
    <xf numFmtId="0" fontId="18" fillId="0" borderId="1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2" fillId="2" borderId="5" xfId="2" applyFont="1" applyFill="1" applyBorder="1" applyAlignment="1">
      <alignment horizontal="left" vertical="top" wrapText="1"/>
    </xf>
    <xf numFmtId="17" fontId="10" fillId="0" borderId="7" xfId="0" applyNumberFormat="1" applyFont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2" fillId="2" borderId="5" xfId="2" applyNumberFormat="1" applyFont="1" applyFill="1" applyBorder="1" applyAlignment="1">
      <alignment horizontal="left" vertical="top" wrapText="1"/>
    </xf>
    <xf numFmtId="0" fontId="10" fillId="4" borderId="1" xfId="0" applyFont="1" applyFill="1" applyBorder="1"/>
    <xf numFmtId="0" fontId="10" fillId="4" borderId="1" xfId="0" applyFont="1" applyFill="1" applyBorder="1" applyAlignment="1">
      <alignment vertical="top"/>
    </xf>
    <xf numFmtId="164" fontId="10" fillId="4" borderId="1" xfId="1" applyNumberFormat="1" applyFont="1" applyFill="1" applyBorder="1"/>
    <xf numFmtId="164" fontId="10" fillId="4" borderId="1" xfId="1" applyNumberFormat="1" applyFont="1" applyFill="1" applyBorder="1" applyAlignment="1">
      <alignment vertical="top"/>
    </xf>
    <xf numFmtId="164" fontId="12" fillId="2" borderId="1" xfId="1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right"/>
    </xf>
    <xf numFmtId="9" fontId="10" fillId="0" borderId="1" xfId="0" applyNumberFormat="1" applyFont="1" applyBorder="1" applyAlignment="1">
      <alignment horizontal="right"/>
    </xf>
    <xf numFmtId="9" fontId="10" fillId="0" borderId="1" xfId="6" applyFont="1" applyBorder="1" applyAlignment="1">
      <alignment horizontal="right"/>
    </xf>
    <xf numFmtId="0" fontId="10" fillId="0" borderId="0" xfId="0" applyFont="1" applyAlignment="1">
      <alignment horizontal="right"/>
    </xf>
    <xf numFmtId="0" fontId="8" fillId="4" borderId="1" xfId="0" applyFont="1" applyFill="1" applyBorder="1"/>
    <xf numFmtId="2" fontId="10" fillId="4" borderId="1" xfId="0" applyNumberFormat="1" applyFont="1" applyFill="1" applyBorder="1"/>
    <xf numFmtId="164" fontId="10" fillId="4" borderId="7" xfId="0" applyNumberFormat="1" applyFont="1" applyFill="1" applyBorder="1" applyAlignment="1">
      <alignment horizontal="center" vertical="center"/>
    </xf>
    <xf numFmtId="164" fontId="18" fillId="0" borderId="1" xfId="1" applyNumberFormat="1" applyFont="1" applyBorder="1" applyAlignment="1">
      <alignment horizontal="center" vertical="center"/>
    </xf>
    <xf numFmtId="164" fontId="18" fillId="0" borderId="1" xfId="1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right" vertical="top"/>
    </xf>
    <xf numFmtId="164" fontId="10" fillId="4" borderId="1" xfId="1" applyNumberFormat="1" applyFont="1" applyFill="1" applyBorder="1" applyAlignment="1">
      <alignment horizontal="right" vertical="top"/>
    </xf>
    <xf numFmtId="2" fontId="10" fillId="4" borderId="1" xfId="0" applyNumberFormat="1" applyFont="1" applyFill="1" applyBorder="1" applyAlignment="1">
      <alignment horizontal="right"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43" fontId="8" fillId="0" borderId="4" xfId="0" applyNumberFormat="1" applyFont="1" applyBorder="1" applyAlignment="1">
      <alignment vertical="top"/>
    </xf>
    <xf numFmtId="43" fontId="12" fillId="2" borderId="1" xfId="1" applyFont="1" applyFill="1" applyBorder="1" applyAlignment="1">
      <alignment horizontal="left" vertical="top" wrapText="1"/>
    </xf>
    <xf numFmtId="49" fontId="13" fillId="4" borderId="1" xfId="0" applyNumberFormat="1" applyFont="1" applyFill="1" applyBorder="1" applyAlignment="1">
      <alignment vertical="top"/>
    </xf>
    <xf numFmtId="0" fontId="12" fillId="3" borderId="1" xfId="2" applyFont="1" applyFill="1" applyBorder="1" applyAlignment="1">
      <alignment horizontal="center" wrapText="1"/>
    </xf>
    <xf numFmtId="0" fontId="13" fillId="0" borderId="1" xfId="2" applyFont="1" applyBorder="1" applyAlignment="1">
      <alignment horizontal="center" vertical="center" wrapText="1"/>
    </xf>
    <xf numFmtId="0" fontId="13" fillId="0" borderId="1" xfId="2" applyFont="1" applyBorder="1" applyAlignment="1">
      <alignment horizontal="left" vertical="center" wrapText="1"/>
    </xf>
    <xf numFmtId="17" fontId="13" fillId="0" borderId="1" xfId="0" applyNumberFormat="1" applyFont="1" applyBorder="1" applyAlignment="1">
      <alignment horizontal="center" vertical="center"/>
    </xf>
    <xf numFmtId="43" fontId="13" fillId="0" borderId="1" xfId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2" fontId="12" fillId="3" borderId="1" xfId="0" applyNumberFormat="1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164" fontId="17" fillId="2" borderId="1" xfId="0" applyNumberFormat="1" applyFont="1" applyFill="1" applyBorder="1" applyAlignment="1">
      <alignment vertical="center"/>
    </xf>
    <xf numFmtId="1" fontId="17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 wrapText="1"/>
    </xf>
    <xf numFmtId="0" fontId="13" fillId="0" borderId="1" xfId="2" applyFont="1" applyBorder="1" applyAlignment="1">
      <alignment vertical="center" wrapText="1"/>
    </xf>
    <xf numFmtId="164" fontId="13" fillId="4" borderId="1" xfId="1" applyNumberFormat="1" applyFont="1" applyFill="1" applyBorder="1" applyAlignment="1">
      <alignment vertical="top" wrapText="1"/>
    </xf>
    <xf numFmtId="164" fontId="13" fillId="4" borderId="1" xfId="1" applyNumberFormat="1" applyFont="1" applyFill="1" applyBorder="1" applyAlignment="1">
      <alignment vertical="top"/>
    </xf>
    <xf numFmtId="43" fontId="13" fillId="4" borderId="1" xfId="1" applyFont="1" applyFill="1" applyBorder="1" applyAlignment="1">
      <alignment vertical="top"/>
    </xf>
    <xf numFmtId="43" fontId="13" fillId="4" borderId="1" xfId="1" applyFont="1" applyFill="1" applyBorder="1" applyAlignment="1">
      <alignment horizontal="center" vertical="top"/>
    </xf>
    <xf numFmtId="43" fontId="13" fillId="4" borderId="1" xfId="1" applyFont="1" applyFill="1" applyBorder="1" applyAlignment="1">
      <alignment horizontal="center" vertical="top" wrapText="1"/>
    </xf>
    <xf numFmtId="43" fontId="13" fillId="4" borderId="1" xfId="1" applyFont="1" applyFill="1" applyBorder="1" applyAlignment="1">
      <alignment horizontal="right" vertical="top"/>
    </xf>
    <xf numFmtId="0" fontId="13" fillId="4" borderId="4" xfId="0" applyFont="1" applyFill="1" applyBorder="1" applyAlignment="1">
      <alignment horizontal="left" vertical="top" wrapText="1"/>
    </xf>
    <xf numFmtId="2" fontId="13" fillId="0" borderId="1" xfId="0" applyNumberFormat="1" applyFont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164" fontId="10" fillId="4" borderId="1" xfId="1" applyNumberFormat="1" applyFont="1" applyFill="1" applyBorder="1" applyAlignment="1">
      <alignment vertical="center"/>
    </xf>
    <xf numFmtId="2" fontId="10" fillId="4" borderId="1" xfId="0" applyNumberFormat="1" applyFont="1" applyFill="1" applyBorder="1" applyAlignment="1">
      <alignment vertical="center"/>
    </xf>
    <xf numFmtId="0" fontId="13" fillId="4" borderId="1" xfId="2" applyFont="1" applyFill="1" applyBorder="1" applyAlignment="1">
      <alignment horizontal="left" vertical="top" wrapText="1"/>
    </xf>
    <xf numFmtId="0" fontId="10" fillId="4" borderId="6" xfId="0" applyFont="1" applyFill="1" applyBorder="1" applyAlignment="1">
      <alignment horizontal="left" vertical="center"/>
    </xf>
    <xf numFmtId="2" fontId="13" fillId="4" borderId="1" xfId="0" applyNumberFormat="1" applyFont="1" applyFill="1" applyBorder="1"/>
    <xf numFmtId="164" fontId="10" fillId="4" borderId="6" xfId="0" applyNumberFormat="1" applyFont="1" applyFill="1" applyBorder="1" applyAlignment="1">
      <alignment horizontal="center" vertical="center"/>
    </xf>
    <xf numFmtId="17" fontId="10" fillId="4" borderId="7" xfId="0" applyNumberFormat="1" applyFont="1" applyFill="1" applyBorder="1" applyAlignment="1">
      <alignment horizontal="center" vertical="center"/>
    </xf>
    <xf numFmtId="17" fontId="10" fillId="4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12" fillId="0" borderId="1" xfId="0" applyFont="1" applyBorder="1" applyAlignment="1">
      <alignment horizontal="center"/>
    </xf>
    <xf numFmtId="0" fontId="13" fillId="4" borderId="1" xfId="2" applyFont="1" applyFill="1" applyBorder="1" applyAlignment="1">
      <alignment horizontal="center" vertical="top" wrapText="1"/>
    </xf>
    <xf numFmtId="0" fontId="10" fillId="4" borderId="0" xfId="0" applyFont="1" applyFill="1" applyAlignment="1">
      <alignment horizontal="left" vertical="center"/>
    </xf>
  </cellXfs>
  <cellStyles count="7">
    <cellStyle name="Comma" xfId="1" builtinId="3"/>
    <cellStyle name="Comma 2 2" xfId="3" xr:uid="{00000000-0005-0000-0000-000001000000}"/>
    <cellStyle name="Comma 3" xfId="5" xr:uid="{00000000-0005-0000-0000-000002000000}"/>
    <cellStyle name="Normal" xfId="0" builtinId="0"/>
    <cellStyle name="Normal 2 14" xfId="2" xr:uid="{00000000-0005-0000-0000-000004000000}"/>
    <cellStyle name="Normal 2 2" xfId="4" xr:uid="{00000000-0005-0000-0000-000005000000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003115\AppData\Local\Microsoft\Windows\INetCache\Content.Outlook\X6KQ7MSJ\file:\C:\Proposals\Antariksha\Cash%20Flow\Cash%20flow_Antariksh-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INPUT"/>
      <sheetName val="Flatwise Data"/>
      <sheetName val="Formatted Sales Data"/>
      <sheetName val="Flat pivot"/>
      <sheetName val="Technical Input"/>
      <sheetName val="Unsold"/>
      <sheetName val="Work Schedule Summary"/>
      <sheetName val="Sales Inflow"/>
      <sheetName val="Mnthwise Cashflow "/>
      <sheetName val="Viability"/>
      <sheetName val="quarterly cash flow"/>
      <sheetName val="cvp"/>
      <sheetName val="Prepayment Calcula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>
        <row r="68">
          <cell r="C68">
            <v>100000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5C21-8937-48CE-9C5D-283EEF06FF30}">
  <dimension ref="A1:E31"/>
  <sheetViews>
    <sheetView workbookViewId="0">
      <selection activeCell="J7" sqref="J7"/>
    </sheetView>
  </sheetViews>
  <sheetFormatPr defaultRowHeight="12.75" x14ac:dyDescent="0.2"/>
  <cols>
    <col min="1" max="1" width="4.625" customWidth="1"/>
    <col min="2" max="2" width="21.25" customWidth="1"/>
    <col min="3" max="3" width="18.5" customWidth="1"/>
    <col min="4" max="4" width="16.875" customWidth="1"/>
    <col min="5" max="5" width="10.375" customWidth="1"/>
  </cols>
  <sheetData>
    <row r="1" spans="1:5" ht="16.5" x14ac:dyDescent="0.3">
      <c r="A1" s="8" t="s">
        <v>50</v>
      </c>
      <c r="B1" s="9"/>
      <c r="C1" s="9"/>
      <c r="D1" s="9"/>
      <c r="E1" s="9"/>
    </row>
    <row r="2" spans="1:5" ht="16.5" x14ac:dyDescent="0.3">
      <c r="A2" s="10" t="s">
        <v>47</v>
      </c>
      <c r="B2" s="10" t="s">
        <v>48</v>
      </c>
      <c r="C2" s="10" t="s">
        <v>57</v>
      </c>
      <c r="D2" s="10" t="s">
        <v>49</v>
      </c>
      <c r="E2" s="9"/>
    </row>
    <row r="3" spans="1:5" ht="16.5" x14ac:dyDescent="0.3">
      <c r="A3" s="10">
        <v>1</v>
      </c>
      <c r="B3" s="10" t="s">
        <v>56</v>
      </c>
      <c r="C3" s="10" t="s">
        <v>58</v>
      </c>
      <c r="D3" s="11">
        <v>0.5</v>
      </c>
      <c r="E3" s="9"/>
    </row>
    <row r="4" spans="1:5" ht="16.5" x14ac:dyDescent="0.3">
      <c r="A4" s="10">
        <v>2</v>
      </c>
      <c r="B4" s="10" t="s">
        <v>55</v>
      </c>
      <c r="C4" s="10" t="s">
        <v>59</v>
      </c>
      <c r="D4" s="11">
        <v>0.5</v>
      </c>
      <c r="E4" s="9"/>
    </row>
    <row r="5" spans="1:5" ht="16.5" x14ac:dyDescent="0.3">
      <c r="A5" s="10"/>
      <c r="B5" s="10" t="s">
        <v>1</v>
      </c>
      <c r="C5" s="10"/>
      <c r="D5" s="12">
        <f>SUM(D3:D4)</f>
        <v>1</v>
      </c>
      <c r="E5" s="9"/>
    </row>
    <row r="6" spans="1:5" ht="16.5" x14ac:dyDescent="0.3">
      <c r="A6" s="9"/>
      <c r="B6" s="9"/>
      <c r="C6" s="9"/>
      <c r="D6" s="9"/>
      <c r="E6" s="9"/>
    </row>
    <row r="7" spans="1:5" ht="16.5" x14ac:dyDescent="0.3">
      <c r="A7" s="8" t="s">
        <v>51</v>
      </c>
      <c r="B7" s="9"/>
      <c r="C7" s="9"/>
      <c r="D7" s="9"/>
      <c r="E7" s="9"/>
    </row>
    <row r="8" spans="1:5" ht="16.5" x14ac:dyDescent="0.3">
      <c r="A8" s="10" t="s">
        <v>47</v>
      </c>
      <c r="B8" s="10" t="s">
        <v>132</v>
      </c>
      <c r="C8" s="10" t="s">
        <v>57</v>
      </c>
      <c r="D8" s="79" t="s">
        <v>46</v>
      </c>
      <c r="E8" s="9"/>
    </row>
    <row r="9" spans="1:5" ht="16.5" x14ac:dyDescent="0.3">
      <c r="A9" s="10">
        <v>1</v>
      </c>
      <c r="B9" s="10" t="s">
        <v>56</v>
      </c>
      <c r="C9" s="10" t="s">
        <v>58</v>
      </c>
      <c r="D9" s="80">
        <v>0.5</v>
      </c>
      <c r="E9" s="9"/>
    </row>
    <row r="10" spans="1:5" ht="16.5" x14ac:dyDescent="0.3">
      <c r="A10" s="10">
        <v>2</v>
      </c>
      <c r="B10" s="10" t="s">
        <v>55</v>
      </c>
      <c r="C10" s="10" t="s">
        <v>59</v>
      </c>
      <c r="D10" s="80">
        <v>0.5</v>
      </c>
      <c r="E10" s="9"/>
    </row>
    <row r="11" spans="1:5" ht="16.5" x14ac:dyDescent="0.3">
      <c r="A11" s="10"/>
      <c r="B11" s="10" t="s">
        <v>1</v>
      </c>
      <c r="C11" s="10"/>
      <c r="D11" s="81">
        <f>SUM(D9:D10)</f>
        <v>1</v>
      </c>
      <c r="E11" s="9"/>
    </row>
    <row r="12" spans="1:5" ht="16.5" x14ac:dyDescent="0.3">
      <c r="A12" s="9"/>
      <c r="B12" s="9"/>
      <c r="C12" s="9"/>
      <c r="D12" s="82"/>
      <c r="E12" s="9"/>
    </row>
    <row r="13" spans="1:5" ht="16.5" x14ac:dyDescent="0.3">
      <c r="A13" s="8" t="s">
        <v>52</v>
      </c>
      <c r="B13" s="9"/>
      <c r="C13" s="9"/>
      <c r="D13" s="82"/>
      <c r="E13" s="9"/>
    </row>
    <row r="14" spans="1:5" ht="16.5" x14ac:dyDescent="0.3">
      <c r="A14" s="10" t="s">
        <v>47</v>
      </c>
      <c r="B14" s="10" t="s">
        <v>132</v>
      </c>
      <c r="C14" s="10" t="s">
        <v>57</v>
      </c>
      <c r="D14" s="79" t="s">
        <v>46</v>
      </c>
      <c r="E14" s="9"/>
    </row>
    <row r="15" spans="1:5" ht="16.5" x14ac:dyDescent="0.3">
      <c r="A15" s="10">
        <v>1</v>
      </c>
      <c r="B15" s="10" t="s">
        <v>56</v>
      </c>
      <c r="C15" s="10" t="s">
        <v>58</v>
      </c>
      <c r="D15" s="11">
        <v>0.5</v>
      </c>
      <c r="E15" s="9"/>
    </row>
    <row r="16" spans="1:5" ht="16.5" x14ac:dyDescent="0.3">
      <c r="A16" s="10">
        <v>2</v>
      </c>
      <c r="B16" s="10" t="s">
        <v>55</v>
      </c>
      <c r="C16" s="10" t="s">
        <v>59</v>
      </c>
      <c r="D16" s="11">
        <v>0.5</v>
      </c>
      <c r="E16" s="9"/>
    </row>
    <row r="17" spans="1:5" ht="16.5" x14ac:dyDescent="0.3">
      <c r="A17" s="10"/>
      <c r="B17" s="10" t="s">
        <v>1</v>
      </c>
      <c r="C17" s="10"/>
      <c r="D17" s="12">
        <f>SUM(D15:D16)</f>
        <v>1</v>
      </c>
      <c r="E17" s="9"/>
    </row>
    <row r="18" spans="1:5" ht="16.5" x14ac:dyDescent="0.3">
      <c r="A18" s="9"/>
      <c r="B18" s="9"/>
      <c r="C18" s="9"/>
      <c r="D18" s="9"/>
      <c r="E18" s="9"/>
    </row>
    <row r="19" spans="1:5" ht="16.5" x14ac:dyDescent="0.3">
      <c r="A19" s="8" t="s">
        <v>53</v>
      </c>
      <c r="B19" s="9"/>
      <c r="C19" s="9"/>
      <c r="D19" s="9"/>
      <c r="E19" s="9"/>
    </row>
    <row r="20" spans="1:5" ht="16.5" x14ac:dyDescent="0.3">
      <c r="A20" s="10" t="s">
        <v>47</v>
      </c>
      <c r="B20" s="10" t="s">
        <v>132</v>
      </c>
      <c r="C20" s="10" t="s">
        <v>57</v>
      </c>
      <c r="D20" s="79" t="s">
        <v>46</v>
      </c>
      <c r="E20" s="9"/>
    </row>
    <row r="21" spans="1:5" ht="16.5" x14ac:dyDescent="0.3">
      <c r="A21" s="10">
        <v>1</v>
      </c>
      <c r="B21" s="10" t="s">
        <v>55</v>
      </c>
      <c r="C21" s="10" t="s">
        <v>58</v>
      </c>
      <c r="D21" s="12">
        <v>0.99</v>
      </c>
      <c r="E21" s="9"/>
    </row>
    <row r="22" spans="1:5" ht="16.5" x14ac:dyDescent="0.3">
      <c r="A22" s="10">
        <v>2</v>
      </c>
      <c r="B22" s="10" t="s">
        <v>54</v>
      </c>
      <c r="C22" s="10" t="s">
        <v>60</v>
      </c>
      <c r="D22" s="12">
        <v>0.01</v>
      </c>
      <c r="E22" s="9"/>
    </row>
    <row r="23" spans="1:5" ht="16.5" x14ac:dyDescent="0.3">
      <c r="A23" s="10"/>
      <c r="B23" s="10" t="s">
        <v>1</v>
      </c>
      <c r="C23" s="10"/>
      <c r="D23" s="12">
        <f>SUM(D21:D22)</f>
        <v>1</v>
      </c>
      <c r="E23" s="9"/>
    </row>
    <row r="24" spans="1:5" ht="16.5" x14ac:dyDescent="0.3">
      <c r="A24" s="9"/>
      <c r="B24" s="9"/>
      <c r="C24" s="9"/>
      <c r="D24" s="9"/>
      <c r="E24" s="9"/>
    </row>
    <row r="25" spans="1:5" ht="16.5" x14ac:dyDescent="0.3">
      <c r="A25" s="8" t="s">
        <v>133</v>
      </c>
      <c r="B25" s="9"/>
      <c r="C25" s="9"/>
      <c r="D25" s="9"/>
      <c r="E25" s="9"/>
    </row>
    <row r="26" spans="1:5" ht="16.5" x14ac:dyDescent="0.3">
      <c r="A26" s="10" t="s">
        <v>47</v>
      </c>
      <c r="B26" s="10" t="s">
        <v>48</v>
      </c>
      <c r="C26" s="10" t="s">
        <v>57</v>
      </c>
      <c r="D26" s="10" t="s">
        <v>49</v>
      </c>
      <c r="E26" s="9"/>
    </row>
    <row r="27" spans="1:5" ht="16.5" x14ac:dyDescent="0.3">
      <c r="A27" s="10">
        <v>1</v>
      </c>
      <c r="B27" s="10" t="s">
        <v>56</v>
      </c>
      <c r="C27" s="10" t="s">
        <v>58</v>
      </c>
      <c r="D27" s="11">
        <v>0.33329999999999999</v>
      </c>
      <c r="E27" s="9"/>
    </row>
    <row r="28" spans="1:5" ht="16.5" x14ac:dyDescent="0.3">
      <c r="A28" s="10">
        <v>2</v>
      </c>
      <c r="B28" s="10" t="s">
        <v>55</v>
      </c>
      <c r="C28" s="10" t="s">
        <v>59</v>
      </c>
      <c r="D28" s="11">
        <v>0.33329999999999999</v>
      </c>
      <c r="E28" s="9"/>
    </row>
    <row r="29" spans="1:5" ht="16.5" x14ac:dyDescent="0.3">
      <c r="A29" s="10">
        <v>3</v>
      </c>
      <c r="B29" s="10" t="s">
        <v>134</v>
      </c>
      <c r="C29" s="10" t="s">
        <v>135</v>
      </c>
      <c r="D29" s="12">
        <v>0.33329999999999999</v>
      </c>
      <c r="E29" s="9"/>
    </row>
    <row r="30" spans="1:5" ht="16.5" x14ac:dyDescent="0.3">
      <c r="A30" s="10"/>
      <c r="B30" s="10" t="s">
        <v>1</v>
      </c>
      <c r="C30" s="10"/>
      <c r="D30" s="12">
        <f>SUM(D27:D29)</f>
        <v>0.99990000000000001</v>
      </c>
      <c r="E30" s="9"/>
    </row>
    <row r="31" spans="1:5" ht="16.5" x14ac:dyDescent="0.3">
      <c r="A31" s="9"/>
      <c r="B31" s="9"/>
      <c r="C31" s="9"/>
      <c r="D31" s="9"/>
      <c r="E3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F046-280B-4D8C-A6F4-F2BCECA6E61F}">
  <dimension ref="A1:N13"/>
  <sheetViews>
    <sheetView tabSelected="1" zoomScale="98" zoomScaleNormal="98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I15" sqref="I15"/>
    </sheetView>
  </sheetViews>
  <sheetFormatPr defaultRowHeight="12.75" x14ac:dyDescent="0.2"/>
  <cols>
    <col min="1" max="1" width="4.875" customWidth="1"/>
    <col min="2" max="2" width="17.625" customWidth="1"/>
    <col min="3" max="3" width="16.625" customWidth="1"/>
    <col min="4" max="4" width="20" customWidth="1"/>
    <col min="5" max="5" width="8.875" bestFit="1" customWidth="1"/>
    <col min="6" max="6" width="9" customWidth="1"/>
    <col min="7" max="7" width="7" customWidth="1"/>
    <col min="8" max="8" width="9.375" customWidth="1"/>
    <col min="9" max="9" width="14.375" customWidth="1"/>
    <col min="10" max="10" width="11.125" customWidth="1"/>
    <col min="11" max="11" width="7.25" customWidth="1"/>
    <col min="12" max="12" width="11.375" bestFit="1" customWidth="1"/>
    <col min="13" max="14" width="8.5" customWidth="1"/>
  </cols>
  <sheetData>
    <row r="1" spans="1:14" ht="15" x14ac:dyDescent="0.25">
      <c r="A1" s="13" t="s">
        <v>44</v>
      </c>
      <c r="B1" s="14"/>
      <c r="C1" s="14"/>
      <c r="D1" s="14"/>
      <c r="E1" s="14"/>
      <c r="F1" s="14"/>
      <c r="G1" s="14"/>
      <c r="H1" s="14"/>
      <c r="I1" s="14"/>
      <c r="J1" s="14"/>
    </row>
    <row r="2" spans="1:14" ht="60" x14ac:dyDescent="0.2">
      <c r="A2" s="15" t="s">
        <v>2</v>
      </c>
      <c r="B2" s="15" t="s">
        <v>3</v>
      </c>
      <c r="C2" s="15" t="s">
        <v>0</v>
      </c>
      <c r="D2" s="15" t="s">
        <v>4</v>
      </c>
      <c r="E2" s="15" t="s">
        <v>68</v>
      </c>
      <c r="F2" s="15" t="s">
        <v>67</v>
      </c>
      <c r="G2" s="69" t="s">
        <v>11</v>
      </c>
      <c r="H2" s="69" t="s">
        <v>128</v>
      </c>
      <c r="I2" s="69" t="s">
        <v>5</v>
      </c>
      <c r="J2" s="16" t="s">
        <v>6</v>
      </c>
      <c r="K2" s="15" t="s">
        <v>123</v>
      </c>
      <c r="L2" s="15" t="s">
        <v>124</v>
      </c>
      <c r="M2" s="15" t="s">
        <v>127</v>
      </c>
      <c r="N2" s="15" t="s">
        <v>131</v>
      </c>
    </row>
    <row r="3" spans="1:14" ht="16.5" x14ac:dyDescent="0.3">
      <c r="A3" s="17">
        <v>1</v>
      </c>
      <c r="B3" s="18" t="s">
        <v>50</v>
      </c>
      <c r="C3" s="19" t="s">
        <v>137</v>
      </c>
      <c r="D3" s="20" t="s">
        <v>69</v>
      </c>
      <c r="E3" s="20" t="s">
        <v>71</v>
      </c>
      <c r="F3" s="21">
        <v>245000</v>
      </c>
      <c r="G3" s="85">
        <v>159</v>
      </c>
      <c r="H3" s="85" t="s">
        <v>126</v>
      </c>
      <c r="I3" s="70">
        <v>42005</v>
      </c>
      <c r="J3" s="71">
        <v>42370</v>
      </c>
      <c r="K3" s="74">
        <v>4</v>
      </c>
      <c r="L3" s="76">
        <v>6300</v>
      </c>
      <c r="M3" s="76">
        <v>2000</v>
      </c>
      <c r="N3" s="84">
        <f>(L3*M3)/10^7</f>
        <v>1.26</v>
      </c>
    </row>
    <row r="4" spans="1:14" ht="33" x14ac:dyDescent="0.2">
      <c r="A4" s="97">
        <v>2</v>
      </c>
      <c r="B4" s="98" t="s">
        <v>66</v>
      </c>
      <c r="C4" s="19" t="s">
        <v>61</v>
      </c>
      <c r="D4" s="118" t="s">
        <v>69</v>
      </c>
      <c r="E4" s="118" t="s">
        <v>71</v>
      </c>
      <c r="F4" s="21">
        <v>251681</v>
      </c>
      <c r="G4" s="85">
        <v>179</v>
      </c>
      <c r="H4" s="85" t="s">
        <v>126</v>
      </c>
      <c r="I4" s="70">
        <v>42430</v>
      </c>
      <c r="J4" s="71">
        <v>42767</v>
      </c>
      <c r="K4" s="119">
        <v>6</v>
      </c>
      <c r="L4" s="120">
        <v>12891</v>
      </c>
      <c r="M4" s="120">
        <v>2000</v>
      </c>
      <c r="N4" s="121">
        <f t="shared" ref="N4:N11" si="0">(L4*M4)/10^7</f>
        <v>2.5781999999999998</v>
      </c>
    </row>
    <row r="5" spans="1:14" s="128" customFormat="1" ht="16.5" x14ac:dyDescent="0.3">
      <c r="A5" s="130">
        <v>3</v>
      </c>
      <c r="B5" s="122" t="s">
        <v>50</v>
      </c>
      <c r="C5" s="123" t="s">
        <v>64</v>
      </c>
      <c r="D5" s="75" t="s">
        <v>70</v>
      </c>
      <c r="E5" s="124" t="s">
        <v>71</v>
      </c>
      <c r="F5" s="125">
        <v>79084</v>
      </c>
      <c r="G5" s="85">
        <v>64</v>
      </c>
      <c r="H5" s="85" t="s">
        <v>126</v>
      </c>
      <c r="I5" s="126">
        <v>42583</v>
      </c>
      <c r="J5" s="127">
        <v>43435</v>
      </c>
      <c r="K5" s="74">
        <v>8</v>
      </c>
      <c r="L5" s="76">
        <v>8761</v>
      </c>
      <c r="M5" s="76">
        <v>1200</v>
      </c>
      <c r="N5" s="84">
        <f>(L5*M5)/10^7</f>
        <v>1.05132</v>
      </c>
    </row>
    <row r="6" spans="1:14" ht="16.5" x14ac:dyDescent="0.3">
      <c r="A6" s="97">
        <v>4</v>
      </c>
      <c r="B6" s="18" t="s">
        <v>50</v>
      </c>
      <c r="C6" s="19" t="s">
        <v>62</v>
      </c>
      <c r="D6" s="20" t="s">
        <v>69</v>
      </c>
      <c r="E6" s="20" t="s">
        <v>71</v>
      </c>
      <c r="F6" s="21">
        <v>67038</v>
      </c>
      <c r="G6" s="85">
        <v>46</v>
      </c>
      <c r="H6" s="85" t="s">
        <v>126</v>
      </c>
      <c r="I6" s="70">
        <v>42767</v>
      </c>
      <c r="J6" s="71">
        <v>43160</v>
      </c>
      <c r="K6" s="74">
        <v>1</v>
      </c>
      <c r="L6" s="76">
        <v>5200</v>
      </c>
      <c r="M6" s="76">
        <v>2000</v>
      </c>
      <c r="N6" s="84">
        <f t="shared" si="0"/>
        <v>1.04</v>
      </c>
    </row>
    <row r="7" spans="1:14" s="128" customFormat="1" ht="16.5" x14ac:dyDescent="0.3">
      <c r="A7" s="130">
        <v>5</v>
      </c>
      <c r="B7" s="122" t="s">
        <v>50</v>
      </c>
      <c r="C7" s="123" t="s">
        <v>65</v>
      </c>
      <c r="D7" s="75" t="s">
        <v>70</v>
      </c>
      <c r="E7" s="124" t="s">
        <v>71</v>
      </c>
      <c r="F7" s="125">
        <v>62334</v>
      </c>
      <c r="G7" s="85">
        <v>52</v>
      </c>
      <c r="H7" s="85" t="s">
        <v>126</v>
      </c>
      <c r="I7" s="126">
        <v>42979</v>
      </c>
      <c r="J7" s="127">
        <v>43435</v>
      </c>
      <c r="K7" s="74">
        <v>8</v>
      </c>
      <c r="L7" s="76">
        <v>9768</v>
      </c>
      <c r="M7" s="76">
        <v>1200</v>
      </c>
      <c r="N7" s="84">
        <f>(L7*M7)/10^7</f>
        <v>1.1721600000000001</v>
      </c>
    </row>
    <row r="8" spans="1:14" ht="16.5" x14ac:dyDescent="0.3">
      <c r="A8" s="97">
        <v>6</v>
      </c>
      <c r="B8" s="18" t="s">
        <v>50</v>
      </c>
      <c r="C8" s="19" t="s">
        <v>63</v>
      </c>
      <c r="D8" s="20" t="s">
        <v>69</v>
      </c>
      <c r="E8" s="20" t="s">
        <v>71</v>
      </c>
      <c r="F8" s="21">
        <v>110555</v>
      </c>
      <c r="G8" s="85">
        <v>67</v>
      </c>
      <c r="H8" s="85" t="s">
        <v>126</v>
      </c>
      <c r="I8" s="70">
        <v>43132</v>
      </c>
      <c r="J8" s="71">
        <v>43466</v>
      </c>
      <c r="K8" s="74">
        <v>3</v>
      </c>
      <c r="L8" s="76">
        <v>6050</v>
      </c>
      <c r="M8" s="76">
        <v>2000</v>
      </c>
      <c r="N8" s="84">
        <f t="shared" si="0"/>
        <v>1.21</v>
      </c>
    </row>
    <row r="9" spans="1:14" s="128" customFormat="1" ht="16.5" x14ac:dyDescent="0.3">
      <c r="A9" s="130">
        <v>7</v>
      </c>
      <c r="B9" s="122" t="s">
        <v>93</v>
      </c>
      <c r="C9" s="131" t="s">
        <v>149</v>
      </c>
      <c r="D9" s="122" t="s">
        <v>87</v>
      </c>
      <c r="E9" s="124" t="s">
        <v>71</v>
      </c>
      <c r="F9" s="125">
        <v>70468</v>
      </c>
      <c r="G9" s="85">
        <v>62</v>
      </c>
      <c r="H9" s="85" t="s">
        <v>126</v>
      </c>
      <c r="I9" s="126">
        <v>43922</v>
      </c>
      <c r="J9" s="127">
        <v>45261</v>
      </c>
      <c r="K9" s="74">
        <v>9</v>
      </c>
      <c r="L9" s="76">
        <v>10876</v>
      </c>
      <c r="M9" s="76">
        <v>1600</v>
      </c>
      <c r="N9" s="84">
        <f t="shared" si="0"/>
        <v>1.7401599999999999</v>
      </c>
    </row>
    <row r="10" spans="1:14" s="4" customFormat="1" ht="16.5" x14ac:dyDescent="0.3">
      <c r="A10" s="97">
        <v>8</v>
      </c>
      <c r="B10" s="18" t="s">
        <v>50</v>
      </c>
      <c r="C10" s="18" t="s">
        <v>129</v>
      </c>
      <c r="D10" s="23" t="s">
        <v>72</v>
      </c>
      <c r="E10" s="20" t="s">
        <v>71</v>
      </c>
      <c r="F10" s="21">
        <v>240593</v>
      </c>
      <c r="G10" s="72">
        <v>188</v>
      </c>
      <c r="H10" s="72" t="s">
        <v>126</v>
      </c>
      <c r="I10" s="70">
        <v>44197</v>
      </c>
      <c r="J10" s="71">
        <v>45199</v>
      </c>
      <c r="K10" s="88" t="s">
        <v>88</v>
      </c>
      <c r="L10" s="89" t="s">
        <v>88</v>
      </c>
      <c r="M10" s="89" t="s">
        <v>88</v>
      </c>
      <c r="N10" s="90" t="s">
        <v>88</v>
      </c>
    </row>
    <row r="11" spans="1:14" s="4" customFormat="1" ht="16.5" x14ac:dyDescent="0.3">
      <c r="A11" s="17">
        <v>9</v>
      </c>
      <c r="B11" s="18" t="s">
        <v>50</v>
      </c>
      <c r="C11" s="18" t="s">
        <v>130</v>
      </c>
      <c r="D11" s="23" t="s">
        <v>72</v>
      </c>
      <c r="E11" s="20" t="s">
        <v>71</v>
      </c>
      <c r="F11" s="21">
        <v>187965</v>
      </c>
      <c r="G11" s="72">
        <v>128</v>
      </c>
      <c r="H11" s="72" t="s">
        <v>126</v>
      </c>
      <c r="I11" s="70">
        <v>44562</v>
      </c>
      <c r="J11" s="71">
        <v>45565</v>
      </c>
      <c r="K11" s="75">
        <v>33</v>
      </c>
      <c r="L11" s="77">
        <v>50440</v>
      </c>
      <c r="M11" s="77">
        <v>2250</v>
      </c>
      <c r="N11" s="84">
        <f t="shared" si="0"/>
        <v>11.349</v>
      </c>
    </row>
    <row r="12" spans="1:14" ht="15" x14ac:dyDescent="0.2">
      <c r="A12" s="15"/>
      <c r="B12" s="15"/>
      <c r="C12" s="15"/>
      <c r="D12" s="15"/>
      <c r="E12" s="15"/>
      <c r="F12" s="22">
        <f>SUM(F3:F11)</f>
        <v>1314718</v>
      </c>
      <c r="G12" s="73"/>
      <c r="H12" s="73"/>
      <c r="I12" s="69"/>
      <c r="J12" s="15"/>
      <c r="K12" s="78">
        <f>SUM(K3:K11)</f>
        <v>72</v>
      </c>
      <c r="L12" s="78">
        <f t="shared" ref="L12:N12" si="1">SUM(L3:L11)</f>
        <v>110286</v>
      </c>
      <c r="M12" s="78"/>
      <c r="N12" s="94">
        <f t="shared" si="1"/>
        <v>21.400839999999999</v>
      </c>
    </row>
    <row r="13" spans="1:14" s="9" customFormat="1" ht="16.5" x14ac:dyDescent="0.3">
      <c r="A13" s="9" t="s">
        <v>138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2A2A-275C-4FB3-B1EE-E108C665E3CA}">
  <dimension ref="B1:AK8"/>
  <sheetViews>
    <sheetView topLeftCell="D1" workbookViewId="0">
      <selection activeCell="G4" sqref="G4"/>
    </sheetView>
  </sheetViews>
  <sheetFormatPr defaultRowHeight="15" x14ac:dyDescent="0.25"/>
  <cols>
    <col min="1" max="1" width="4.625" customWidth="1"/>
    <col min="2" max="2" width="6" style="1" customWidth="1"/>
    <col min="3" max="3" width="15.375" style="2" customWidth="1"/>
    <col min="4" max="4" width="9" style="1" customWidth="1"/>
    <col min="5" max="5" width="17.5" style="1" customWidth="1"/>
    <col min="6" max="6" width="18.5" style="1" bestFit="1" customWidth="1"/>
    <col min="7" max="7" width="9.125" style="1" customWidth="1"/>
    <col min="8" max="8" width="10.75" style="1" customWidth="1"/>
    <col min="9" max="9" width="6.125" style="1" customWidth="1"/>
    <col min="10" max="11" width="7.5" style="1" customWidth="1"/>
    <col min="12" max="12" width="11.25" style="1" customWidth="1"/>
    <col min="13" max="13" width="10" style="1" customWidth="1"/>
    <col min="14" max="14" width="8.25" style="1" customWidth="1"/>
    <col min="15" max="15" width="12" style="1" customWidth="1"/>
    <col min="16" max="16" width="10.5" style="1" customWidth="1"/>
    <col min="17" max="17" width="13.375" style="1" customWidth="1"/>
    <col min="18" max="18" width="10" style="1" customWidth="1"/>
    <col min="19" max="19" width="12.625" style="1" customWidth="1"/>
    <col min="20" max="20" width="11.125" style="1" customWidth="1"/>
    <col min="21" max="21" width="9.25" style="1" bestFit="1" customWidth="1"/>
    <col min="22" max="22" width="9.25" style="1" customWidth="1"/>
    <col min="23" max="23" width="11.5" style="1" customWidth="1"/>
    <col min="24" max="24" width="13.875" style="1" bestFit="1" customWidth="1"/>
    <col min="25" max="25" width="11" style="1" customWidth="1"/>
    <col min="26" max="26" width="18.25" style="1" customWidth="1"/>
    <col min="27" max="27" width="24.875" style="1" customWidth="1"/>
  </cols>
  <sheetData>
    <row r="1" spans="2:37" ht="16.5" x14ac:dyDescent="0.3">
      <c r="B1" s="24" t="s">
        <v>45</v>
      </c>
      <c r="C1" s="25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2:37" x14ac:dyDescent="0.25">
      <c r="B2" s="27"/>
      <c r="C2" s="27"/>
      <c r="D2" s="27"/>
      <c r="E2" s="27"/>
      <c r="F2" s="27"/>
      <c r="G2" s="27"/>
      <c r="H2" s="27"/>
      <c r="I2" s="129" t="s">
        <v>7</v>
      </c>
      <c r="J2" s="129"/>
      <c r="K2" s="129"/>
      <c r="L2" s="129" t="s">
        <v>8</v>
      </c>
      <c r="M2" s="129"/>
      <c r="N2" s="129"/>
      <c r="O2" s="129" t="s">
        <v>29</v>
      </c>
      <c r="P2" s="129"/>
      <c r="Q2" s="129"/>
      <c r="R2" s="129"/>
      <c r="S2" s="129"/>
      <c r="T2" s="129" t="s">
        <v>30</v>
      </c>
      <c r="U2" s="129"/>
      <c r="V2" s="129"/>
      <c r="W2" s="129" t="s">
        <v>31</v>
      </c>
      <c r="X2" s="129"/>
      <c r="Y2" s="129"/>
      <c r="Z2" s="129" t="s">
        <v>9</v>
      </c>
      <c r="AA2" s="129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2:37" ht="75" x14ac:dyDescent="0.25">
      <c r="B3" s="28" t="s">
        <v>2</v>
      </c>
      <c r="C3" s="28" t="s">
        <v>0</v>
      </c>
      <c r="D3" s="28" t="s">
        <v>86</v>
      </c>
      <c r="E3" s="28" t="s">
        <v>4</v>
      </c>
      <c r="F3" s="28" t="s">
        <v>10</v>
      </c>
      <c r="G3" s="28" t="s">
        <v>94</v>
      </c>
      <c r="H3" s="28" t="s">
        <v>95</v>
      </c>
      <c r="I3" s="28" t="s">
        <v>11</v>
      </c>
      <c r="J3" s="28" t="s">
        <v>12</v>
      </c>
      <c r="K3" s="28" t="s">
        <v>13</v>
      </c>
      <c r="L3" s="28" t="s">
        <v>14</v>
      </c>
      <c r="M3" s="28" t="s">
        <v>84</v>
      </c>
      <c r="N3" s="28" t="s">
        <v>85</v>
      </c>
      <c r="O3" s="28" t="s">
        <v>15</v>
      </c>
      <c r="P3" s="28" t="s">
        <v>16</v>
      </c>
      <c r="Q3" s="28" t="s">
        <v>17</v>
      </c>
      <c r="R3" s="28" t="s">
        <v>18</v>
      </c>
      <c r="S3" s="28" t="s">
        <v>19</v>
      </c>
      <c r="T3" s="28" t="s">
        <v>20</v>
      </c>
      <c r="U3" s="28" t="s">
        <v>21</v>
      </c>
      <c r="V3" s="28" t="s">
        <v>22</v>
      </c>
      <c r="W3" s="28" t="s">
        <v>23</v>
      </c>
      <c r="X3" s="28" t="s">
        <v>24</v>
      </c>
      <c r="Y3" s="28" t="s">
        <v>25</v>
      </c>
      <c r="Z3" s="28" t="s">
        <v>26</v>
      </c>
      <c r="AA3" s="28" t="s">
        <v>27</v>
      </c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2:37" s="4" customFormat="1" ht="18.75" customHeight="1" x14ac:dyDescent="0.2">
      <c r="B4" s="17">
        <v>1</v>
      </c>
      <c r="C4" s="18" t="s">
        <v>73</v>
      </c>
      <c r="D4" s="18" t="s">
        <v>71</v>
      </c>
      <c r="E4" s="18" t="s">
        <v>87</v>
      </c>
      <c r="F4" s="18" t="s">
        <v>50</v>
      </c>
      <c r="G4" s="45">
        <v>45292</v>
      </c>
      <c r="H4" s="95" t="s">
        <v>148</v>
      </c>
      <c r="I4" s="111">
        <v>44</v>
      </c>
      <c r="J4" s="111">
        <v>26</v>
      </c>
      <c r="K4" s="112">
        <f>I4-J4</f>
        <v>18</v>
      </c>
      <c r="L4" s="111">
        <v>58823</v>
      </c>
      <c r="M4" s="111">
        <v>33706</v>
      </c>
      <c r="N4" s="112">
        <f>L4-M4</f>
        <v>25117</v>
      </c>
      <c r="O4" s="113">
        <f>P4+S4</f>
        <v>8.7375600000000002</v>
      </c>
      <c r="P4" s="113">
        <f>(M4*1400)/10^7</f>
        <v>4.7188400000000001</v>
      </c>
      <c r="Q4" s="113">
        <f>P4</f>
        <v>4.7188400000000001</v>
      </c>
      <c r="R4" s="113">
        <f t="shared" ref="R4" si="0">P4-Q4</f>
        <v>0</v>
      </c>
      <c r="S4" s="113">
        <f>(N4*1600)/10^7</f>
        <v>4.0187200000000001</v>
      </c>
      <c r="T4" s="114">
        <v>5.7670000000000003</v>
      </c>
      <c r="U4" s="115">
        <v>3.87</v>
      </c>
      <c r="V4" s="114">
        <f>T4-U4</f>
        <v>1.8970000000000002</v>
      </c>
      <c r="W4" s="116" t="s">
        <v>88</v>
      </c>
      <c r="X4" s="116" t="s">
        <v>88</v>
      </c>
      <c r="Y4" s="116" t="s">
        <v>88</v>
      </c>
      <c r="Z4" s="95" t="s">
        <v>89</v>
      </c>
      <c r="AA4" s="117" t="s">
        <v>150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</row>
    <row r="5" spans="2:37" x14ac:dyDescent="0.25">
      <c r="B5" s="28"/>
      <c r="C5" s="28" t="s">
        <v>28</v>
      </c>
      <c r="D5" s="28"/>
      <c r="E5" s="28"/>
      <c r="F5" s="28"/>
      <c r="G5" s="28"/>
      <c r="H5" s="28"/>
      <c r="I5" s="47">
        <f t="shared" ref="I5:W5" si="1">SUM(I4:I4)</f>
        <v>44</v>
      </c>
      <c r="J5" s="47">
        <f t="shared" si="1"/>
        <v>26</v>
      </c>
      <c r="K5" s="47">
        <f t="shared" si="1"/>
        <v>18</v>
      </c>
      <c r="L5" s="47">
        <f t="shared" si="1"/>
        <v>58823</v>
      </c>
      <c r="M5" s="47">
        <f t="shared" si="1"/>
        <v>33706</v>
      </c>
      <c r="N5" s="47">
        <f t="shared" si="1"/>
        <v>25117</v>
      </c>
      <c r="O5" s="46">
        <f t="shared" si="1"/>
        <v>8.7375600000000002</v>
      </c>
      <c r="P5" s="46">
        <f t="shared" si="1"/>
        <v>4.7188400000000001</v>
      </c>
      <c r="Q5" s="46">
        <f t="shared" si="1"/>
        <v>4.7188400000000001</v>
      </c>
      <c r="R5" s="46">
        <f t="shared" si="1"/>
        <v>0</v>
      </c>
      <c r="S5" s="46">
        <f t="shared" si="1"/>
        <v>4.0187200000000001</v>
      </c>
      <c r="T5" s="49">
        <f t="shared" si="1"/>
        <v>5.7670000000000003</v>
      </c>
      <c r="U5" s="49">
        <f t="shared" si="1"/>
        <v>3.87</v>
      </c>
      <c r="V5" s="49">
        <f t="shared" si="1"/>
        <v>1.8970000000000002</v>
      </c>
      <c r="W5" s="48">
        <f t="shared" si="1"/>
        <v>0</v>
      </c>
      <c r="X5" s="48"/>
      <c r="Y5" s="48">
        <f>SUM(Y4:Y4)</f>
        <v>0</v>
      </c>
      <c r="Z5" s="28"/>
      <c r="AA5" s="28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2:37" ht="16.5" x14ac:dyDescent="0.3">
      <c r="B6" s="26"/>
      <c r="C6" s="25"/>
      <c r="D6" s="26"/>
      <c r="E6" s="26"/>
      <c r="F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2:37" ht="16.5" x14ac:dyDescent="0.3">
      <c r="B7" s="26"/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2:37" ht="16.5" x14ac:dyDescent="0.3">
      <c r="G8" s="26"/>
      <c r="H8" s="26"/>
    </row>
  </sheetData>
  <mergeCells count="6">
    <mergeCell ref="Z2:AA2"/>
    <mergeCell ref="I2:K2"/>
    <mergeCell ref="L2:N2"/>
    <mergeCell ref="O2:S2"/>
    <mergeCell ref="T2:V2"/>
    <mergeCell ref="W2:Y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29A4-0FED-49B3-89C9-38D05260BED6}">
  <dimension ref="A1:L22"/>
  <sheetViews>
    <sheetView workbookViewId="0">
      <selection activeCell="L13" sqref="L13"/>
    </sheetView>
  </sheetViews>
  <sheetFormatPr defaultRowHeight="15" x14ac:dyDescent="0.25"/>
  <cols>
    <col min="1" max="1" width="4.25" style="5" customWidth="1"/>
    <col min="2" max="2" width="18.125" style="5" customWidth="1"/>
    <col min="3" max="3" width="22" style="5" customWidth="1"/>
    <col min="4" max="4" width="17.25" style="5" customWidth="1"/>
    <col min="5" max="5" width="20.5" style="5" customWidth="1"/>
    <col min="6" max="6" width="14.125" style="5" customWidth="1"/>
    <col min="7" max="7" width="10.25" style="5" customWidth="1"/>
    <col min="8" max="8" width="11.5" style="5" customWidth="1"/>
    <col min="9" max="9" width="9.875" style="5" customWidth="1"/>
    <col min="10" max="10" width="8.625" style="5" customWidth="1"/>
    <col min="11" max="11" width="9.75" style="5" customWidth="1"/>
  </cols>
  <sheetData>
    <row r="1" spans="1:12" s="6" customFormat="1" ht="16.5" x14ac:dyDescent="0.3">
      <c r="A1" s="29" t="s">
        <v>74</v>
      </c>
      <c r="B1" s="30"/>
      <c r="C1" s="30"/>
      <c r="D1" s="30"/>
      <c r="E1" s="30"/>
      <c r="F1" s="30"/>
      <c r="G1" s="31"/>
      <c r="H1" s="31"/>
      <c r="I1" s="31"/>
      <c r="J1" s="31"/>
      <c r="L1" s="32" t="s">
        <v>75</v>
      </c>
    </row>
    <row r="2" spans="1:12" s="6" customFormat="1" ht="45" x14ac:dyDescent="0.25">
      <c r="A2" s="28" t="s">
        <v>76</v>
      </c>
      <c r="B2" s="28" t="s">
        <v>0</v>
      </c>
      <c r="C2" s="28" t="s">
        <v>4</v>
      </c>
      <c r="D2" s="28" t="s">
        <v>92</v>
      </c>
      <c r="E2" s="28" t="s">
        <v>10</v>
      </c>
      <c r="F2" s="28" t="s">
        <v>77</v>
      </c>
      <c r="G2" s="28" t="s">
        <v>78</v>
      </c>
      <c r="H2" s="28" t="s">
        <v>79</v>
      </c>
      <c r="I2" s="96" t="s">
        <v>80</v>
      </c>
      <c r="J2" s="28" t="s">
        <v>81</v>
      </c>
      <c r="K2" s="28" t="s">
        <v>82</v>
      </c>
      <c r="L2" s="28" t="s">
        <v>142</v>
      </c>
    </row>
    <row r="3" spans="1:12" s="6" customFormat="1" ht="16.5" x14ac:dyDescent="0.3">
      <c r="A3" s="17">
        <v>1</v>
      </c>
      <c r="B3" s="33" t="s">
        <v>83</v>
      </c>
      <c r="C3" s="20" t="s">
        <v>69</v>
      </c>
      <c r="D3" s="17" t="s">
        <v>71</v>
      </c>
      <c r="E3" s="18" t="s">
        <v>93</v>
      </c>
      <c r="F3" s="34">
        <v>211600</v>
      </c>
      <c r="G3" s="35" t="s">
        <v>90</v>
      </c>
      <c r="H3" s="35" t="s">
        <v>91</v>
      </c>
      <c r="I3" s="100">
        <f>(F3*2000)/10^7</f>
        <v>42.32</v>
      </c>
      <c r="J3" s="100">
        <v>18.600000000000001</v>
      </c>
      <c r="K3" s="100">
        <v>10</v>
      </c>
      <c r="L3" s="100">
        <f>J3-K3</f>
        <v>8.6000000000000014</v>
      </c>
    </row>
    <row r="4" spans="1:12" s="101" customFormat="1" ht="21.75" customHeight="1" x14ac:dyDescent="0.2">
      <c r="A4" s="97">
        <v>2</v>
      </c>
      <c r="B4" s="98" t="s">
        <v>98</v>
      </c>
      <c r="C4" s="98" t="s">
        <v>97</v>
      </c>
      <c r="D4" s="97" t="s">
        <v>141</v>
      </c>
      <c r="E4" s="110" t="s">
        <v>96</v>
      </c>
      <c r="F4" s="34">
        <v>109000</v>
      </c>
      <c r="G4" s="99" t="s">
        <v>140</v>
      </c>
      <c r="H4" s="99" t="s">
        <v>99</v>
      </c>
      <c r="I4" s="100">
        <f>((F4*20*12)/10^7)*100/9</f>
        <v>29.06666666666667</v>
      </c>
      <c r="J4" s="100">
        <f>5.5+(F4*1500)/10^7</f>
        <v>21.85</v>
      </c>
      <c r="K4" s="100">
        <v>5.5</v>
      </c>
      <c r="L4" s="100">
        <f>J4-K4</f>
        <v>16.350000000000001</v>
      </c>
    </row>
    <row r="5" spans="1:12" s="6" customFormat="1" x14ac:dyDescent="0.25">
      <c r="A5" s="36"/>
      <c r="B5" s="28" t="s">
        <v>1</v>
      </c>
      <c r="C5" s="36"/>
      <c r="D5" s="36"/>
      <c r="E5" s="36"/>
      <c r="F5" s="37">
        <f>SUM(F3:F4)</f>
        <v>320600</v>
      </c>
      <c r="G5" s="38"/>
      <c r="H5" s="38"/>
      <c r="I5" s="49">
        <f>SUM(I3:I4)</f>
        <v>71.38666666666667</v>
      </c>
      <c r="J5" s="102">
        <f>SUM(J3:J4)</f>
        <v>40.450000000000003</v>
      </c>
      <c r="K5" s="102">
        <f>SUM(K3:K4)</f>
        <v>15.5</v>
      </c>
      <c r="L5" s="102">
        <f>SUM(L3:L4)</f>
        <v>24.950000000000003</v>
      </c>
    </row>
    <row r="6" spans="1:12" ht="12.75" x14ac:dyDescent="0.2">
      <c r="A6"/>
      <c r="B6"/>
      <c r="C6"/>
      <c r="D6"/>
      <c r="E6"/>
      <c r="F6"/>
      <c r="G6"/>
      <c r="H6"/>
      <c r="I6"/>
      <c r="J6"/>
      <c r="K6"/>
    </row>
    <row r="7" spans="1:12" ht="12.75" x14ac:dyDescent="0.2">
      <c r="A7"/>
      <c r="B7"/>
      <c r="C7"/>
      <c r="D7"/>
      <c r="E7"/>
      <c r="F7"/>
      <c r="G7"/>
      <c r="H7"/>
      <c r="I7"/>
      <c r="J7"/>
      <c r="K7"/>
    </row>
    <row r="8" spans="1:12" ht="12.75" x14ac:dyDescent="0.2">
      <c r="A8"/>
      <c r="B8"/>
      <c r="C8"/>
      <c r="D8"/>
      <c r="E8"/>
      <c r="F8"/>
      <c r="G8"/>
      <c r="H8"/>
      <c r="I8"/>
      <c r="J8"/>
      <c r="K8"/>
    </row>
    <row r="9" spans="1:12" ht="12.75" x14ac:dyDescent="0.2">
      <c r="A9"/>
      <c r="B9"/>
      <c r="C9"/>
      <c r="D9"/>
      <c r="E9"/>
      <c r="F9"/>
      <c r="G9"/>
      <c r="H9"/>
      <c r="I9"/>
      <c r="J9"/>
      <c r="K9"/>
    </row>
    <row r="10" spans="1:12" ht="12.75" x14ac:dyDescent="0.2">
      <c r="A10"/>
      <c r="B10"/>
      <c r="C10"/>
      <c r="D10"/>
      <c r="E10"/>
      <c r="F10"/>
      <c r="G10"/>
      <c r="H10"/>
      <c r="I10"/>
      <c r="J10"/>
      <c r="K10"/>
    </row>
    <row r="11" spans="1:12" ht="12.75" x14ac:dyDescent="0.2">
      <c r="A11"/>
      <c r="B11"/>
      <c r="C11"/>
      <c r="D11"/>
      <c r="E11"/>
      <c r="F11"/>
      <c r="G11"/>
      <c r="H11"/>
      <c r="I11"/>
      <c r="J11"/>
      <c r="K11"/>
    </row>
    <row r="12" spans="1:12" ht="12.75" x14ac:dyDescent="0.2">
      <c r="A12"/>
      <c r="B12"/>
      <c r="C12"/>
      <c r="D12"/>
      <c r="E12"/>
      <c r="F12"/>
      <c r="G12"/>
      <c r="H12"/>
      <c r="I12"/>
      <c r="J12"/>
      <c r="K12"/>
    </row>
    <row r="13" spans="1:12" ht="12.75" x14ac:dyDescent="0.2">
      <c r="A13"/>
      <c r="B13"/>
      <c r="C13"/>
      <c r="D13"/>
      <c r="E13"/>
      <c r="F13"/>
      <c r="G13"/>
      <c r="H13"/>
      <c r="I13"/>
      <c r="J13"/>
      <c r="K13"/>
    </row>
    <row r="14" spans="1:12" ht="12.75" x14ac:dyDescent="0.2">
      <c r="A14"/>
      <c r="B14"/>
      <c r="C14"/>
      <c r="D14"/>
      <c r="E14"/>
      <c r="F14"/>
      <c r="G14"/>
      <c r="H14"/>
      <c r="I14"/>
      <c r="J14"/>
      <c r="K14"/>
    </row>
    <row r="15" spans="1:12" ht="12.75" x14ac:dyDescent="0.2">
      <c r="A15"/>
      <c r="B15"/>
      <c r="C15"/>
      <c r="D15"/>
      <c r="E15"/>
      <c r="F15"/>
      <c r="G15"/>
      <c r="H15"/>
      <c r="I15"/>
      <c r="J15"/>
      <c r="K15"/>
    </row>
    <row r="16" spans="1:12" ht="12.75" x14ac:dyDescent="0.2">
      <c r="A16"/>
      <c r="B16"/>
      <c r="C16"/>
      <c r="D16"/>
      <c r="E16"/>
      <c r="F16"/>
      <c r="G16"/>
      <c r="H16"/>
      <c r="I16"/>
      <c r="J16"/>
      <c r="K16"/>
    </row>
    <row r="17" customFormat="1" ht="12.75" x14ac:dyDescent="0.2"/>
    <row r="18" customFormat="1" ht="12.75" x14ac:dyDescent="0.2"/>
    <row r="19" customFormat="1" ht="12.75" x14ac:dyDescent="0.2"/>
    <row r="20" customFormat="1" ht="12.75" x14ac:dyDescent="0.2"/>
    <row r="21" customFormat="1" ht="12.75" x14ac:dyDescent="0.2"/>
    <row r="22" customFormat="1" ht="12.75" x14ac:dyDescent="0.2"/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AC80-2D1C-4595-BC05-89D1307052BD}">
  <dimension ref="B1:J10"/>
  <sheetViews>
    <sheetView workbookViewId="0">
      <selection activeCell="F13" sqref="F13"/>
    </sheetView>
  </sheetViews>
  <sheetFormatPr defaultRowHeight="14.25" x14ac:dyDescent="0.2"/>
  <cols>
    <col min="1" max="1" width="4.625" customWidth="1"/>
    <col min="2" max="2" width="6.75" style="52" customWidth="1"/>
    <col min="3" max="3" width="20.875" style="52" customWidth="1"/>
    <col min="4" max="4" width="19" style="52" customWidth="1"/>
    <col min="5" max="5" width="24.625" style="52" customWidth="1"/>
    <col min="6" max="6" width="10.75" style="52" customWidth="1"/>
    <col min="7" max="7" width="10.625" style="52" customWidth="1"/>
    <col min="8" max="8" width="9.875" style="52" customWidth="1"/>
    <col min="9" max="9" width="44" style="53" customWidth="1"/>
    <col min="10" max="10" width="25.625" style="52" customWidth="1"/>
  </cols>
  <sheetData>
    <row r="1" spans="2:10" x14ac:dyDescent="0.2">
      <c r="B1" s="52" t="s">
        <v>122</v>
      </c>
    </row>
    <row r="2" spans="2:10" s="6" customFormat="1" ht="60" x14ac:dyDescent="0.3">
      <c r="B2" s="103"/>
      <c r="C2" s="104" t="s">
        <v>4</v>
      </c>
      <c r="D2" s="104" t="s">
        <v>112</v>
      </c>
      <c r="E2" s="104" t="s">
        <v>113</v>
      </c>
      <c r="F2" s="104" t="s">
        <v>114</v>
      </c>
      <c r="G2" s="104" t="s">
        <v>143</v>
      </c>
      <c r="H2" s="104" t="s">
        <v>144</v>
      </c>
      <c r="I2" s="104" t="s">
        <v>139</v>
      </c>
      <c r="J2" s="9"/>
    </row>
    <row r="3" spans="2:10" s="6" customFormat="1" ht="33" x14ac:dyDescent="0.3">
      <c r="B3" s="61">
        <v>1</v>
      </c>
      <c r="C3" s="65" t="s">
        <v>115</v>
      </c>
      <c r="D3" s="62" t="s">
        <v>116</v>
      </c>
      <c r="E3" s="62" t="s">
        <v>96</v>
      </c>
      <c r="F3" s="86">
        <f>12*43560</f>
        <v>522720</v>
      </c>
      <c r="G3" s="86">
        <v>12</v>
      </c>
      <c r="H3" s="61">
        <f>12*2</f>
        <v>24</v>
      </c>
      <c r="I3" s="63" t="s">
        <v>117</v>
      </c>
      <c r="J3" s="9"/>
    </row>
    <row r="4" spans="2:10" s="6" customFormat="1" ht="33" x14ac:dyDescent="0.3">
      <c r="B4" s="61">
        <v>2</v>
      </c>
      <c r="C4" s="65" t="s">
        <v>118</v>
      </c>
      <c r="D4" s="62" t="s">
        <v>116</v>
      </c>
      <c r="E4" s="62" t="s">
        <v>96</v>
      </c>
      <c r="F4" s="86">
        <f>12*43560</f>
        <v>522720</v>
      </c>
      <c r="G4" s="86">
        <v>12</v>
      </c>
      <c r="H4" s="61">
        <f>12*2</f>
        <v>24</v>
      </c>
      <c r="I4" s="63" t="s">
        <v>117</v>
      </c>
      <c r="J4" s="9"/>
    </row>
    <row r="5" spans="2:10" s="44" customFormat="1" ht="68.25" customHeight="1" x14ac:dyDescent="0.2">
      <c r="B5" s="61">
        <v>3</v>
      </c>
      <c r="C5" s="63" t="s">
        <v>147</v>
      </c>
      <c r="D5" s="62" t="s">
        <v>145</v>
      </c>
      <c r="E5" s="62" t="s">
        <v>96</v>
      </c>
      <c r="F5" s="86">
        <f>20*43560</f>
        <v>871200</v>
      </c>
      <c r="G5" s="86">
        <v>22</v>
      </c>
      <c r="H5" s="61">
        <v>115</v>
      </c>
      <c r="I5" s="67" t="s">
        <v>146</v>
      </c>
      <c r="J5" s="68"/>
    </row>
    <row r="6" spans="2:10" s="6" customFormat="1" ht="16.5" x14ac:dyDescent="0.3">
      <c r="B6" s="61">
        <v>4</v>
      </c>
      <c r="C6" s="65" t="s">
        <v>119</v>
      </c>
      <c r="D6" s="61" t="s">
        <v>120</v>
      </c>
      <c r="E6" s="61" t="s">
        <v>50</v>
      </c>
      <c r="F6" s="87">
        <f>30*43560</f>
        <v>1306800</v>
      </c>
      <c r="G6" s="87">
        <v>18</v>
      </c>
      <c r="H6" s="64">
        <v>46</v>
      </c>
      <c r="I6" s="63" t="s">
        <v>121</v>
      </c>
      <c r="J6" s="9"/>
    </row>
    <row r="7" spans="2:10" s="6" customFormat="1" ht="16.5" x14ac:dyDescent="0.3">
      <c r="B7" s="61">
        <v>5</v>
      </c>
      <c r="C7" s="65" t="s">
        <v>100</v>
      </c>
      <c r="D7" s="61" t="s">
        <v>120</v>
      </c>
      <c r="E7" s="61" t="s">
        <v>50</v>
      </c>
      <c r="F7" s="87">
        <f>10*43560</f>
        <v>435600</v>
      </c>
      <c r="G7" s="87">
        <v>7</v>
      </c>
      <c r="H7" s="64">
        <v>15</v>
      </c>
      <c r="I7" s="63" t="s">
        <v>121</v>
      </c>
      <c r="J7" s="9"/>
    </row>
    <row r="8" spans="2:10" s="6" customFormat="1" ht="16.5" x14ac:dyDescent="0.3">
      <c r="B8" s="61">
        <v>6</v>
      </c>
      <c r="C8" s="65" t="s">
        <v>101</v>
      </c>
      <c r="D8" s="61" t="s">
        <v>120</v>
      </c>
      <c r="E8" s="62" t="s">
        <v>96</v>
      </c>
      <c r="F8" s="87">
        <f>12.25*43560</f>
        <v>533610</v>
      </c>
      <c r="G8" s="87">
        <v>8</v>
      </c>
      <c r="H8" s="64">
        <v>19</v>
      </c>
      <c r="I8" s="63" t="s">
        <v>121</v>
      </c>
      <c r="J8" s="9"/>
    </row>
    <row r="9" spans="2:10" s="6" customFormat="1" ht="16.5" x14ac:dyDescent="0.3">
      <c r="B9" s="105"/>
      <c r="C9" s="106" t="s">
        <v>1</v>
      </c>
      <c r="D9" s="106"/>
      <c r="E9" s="106"/>
      <c r="F9" s="106"/>
      <c r="G9" s="107">
        <f>SUM(G3:G8)</f>
        <v>79</v>
      </c>
      <c r="H9" s="108">
        <f>SUM(H3:H8)</f>
        <v>243</v>
      </c>
      <c r="I9" s="109"/>
      <c r="J9" s="9"/>
    </row>
    <row r="10" spans="2:10" s="6" customFormat="1" ht="16.5" x14ac:dyDescent="0.3">
      <c r="B10" s="9"/>
      <c r="C10" s="9"/>
      <c r="D10" s="9"/>
      <c r="E10" s="9"/>
      <c r="F10" s="9"/>
      <c r="G10" s="9"/>
      <c r="H10" s="9"/>
      <c r="I10" s="66"/>
      <c r="J1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F1BB-40EC-446E-89D3-A4412A160F5D}">
  <dimension ref="B1:L9"/>
  <sheetViews>
    <sheetView workbookViewId="0">
      <selection activeCell="F19" sqref="F19"/>
    </sheetView>
  </sheetViews>
  <sheetFormatPr defaultRowHeight="12.75" x14ac:dyDescent="0.2"/>
  <cols>
    <col min="1" max="1" width="4" customWidth="1"/>
    <col min="2" max="2" width="5.625" customWidth="1"/>
    <col min="3" max="3" width="24" customWidth="1"/>
    <col min="4" max="4" width="19.75" customWidth="1"/>
    <col min="5" max="5" width="8.375" customWidth="1"/>
    <col min="6" max="6" width="29.875" customWidth="1"/>
    <col min="7" max="7" width="5.875" customWidth="1"/>
    <col min="8" max="8" width="10.625" customWidth="1"/>
    <col min="9" max="11" width="11.125" customWidth="1"/>
    <col min="12" max="12" width="11.875" customWidth="1"/>
  </cols>
  <sheetData>
    <row r="1" spans="2:12" s="6" customFormat="1" ht="13.5" x14ac:dyDescent="0.25"/>
    <row r="2" spans="2:12" s="6" customFormat="1" ht="15" x14ac:dyDescent="0.25">
      <c r="B2" s="13" t="s">
        <v>32</v>
      </c>
      <c r="C2" s="14"/>
      <c r="D2" s="14"/>
      <c r="E2" s="14"/>
      <c r="G2" s="14"/>
      <c r="H2" s="14"/>
      <c r="I2" s="14"/>
      <c r="J2" s="14"/>
      <c r="K2" s="14"/>
      <c r="L2" s="14"/>
    </row>
    <row r="3" spans="2:12" s="6" customFormat="1" ht="45.75" thickBot="1" x14ac:dyDescent="0.3">
      <c r="B3" s="39" t="s">
        <v>33</v>
      </c>
      <c r="C3" s="40" t="s">
        <v>34</v>
      </c>
      <c r="D3" s="39" t="s">
        <v>35</v>
      </c>
      <c r="E3" s="40" t="s">
        <v>36</v>
      </c>
      <c r="F3" s="40" t="s">
        <v>37</v>
      </c>
      <c r="G3" s="39" t="s">
        <v>38</v>
      </c>
      <c r="H3" s="40" t="s">
        <v>39</v>
      </c>
      <c r="I3" s="41" t="s">
        <v>40</v>
      </c>
      <c r="J3" s="41" t="s">
        <v>41</v>
      </c>
      <c r="K3" s="41" t="s">
        <v>42</v>
      </c>
      <c r="L3" s="41" t="s">
        <v>43</v>
      </c>
    </row>
    <row r="4" spans="2:12" s="6" customFormat="1" ht="16.5" x14ac:dyDescent="0.25">
      <c r="B4" s="42">
        <v>1</v>
      </c>
      <c r="C4" s="42" t="s">
        <v>51</v>
      </c>
      <c r="D4" s="42" t="s">
        <v>102</v>
      </c>
      <c r="E4" s="42" t="s">
        <v>103</v>
      </c>
      <c r="F4" s="42" t="s">
        <v>104</v>
      </c>
      <c r="G4" s="54">
        <v>0.15</v>
      </c>
      <c r="H4" s="55">
        <v>44927</v>
      </c>
      <c r="I4" s="56">
        <v>17</v>
      </c>
      <c r="J4" s="56">
        <f>I4</f>
        <v>17</v>
      </c>
      <c r="K4" s="50">
        <f>I4-J4</f>
        <v>0</v>
      </c>
      <c r="L4" s="56">
        <v>0.63</v>
      </c>
    </row>
    <row r="5" spans="2:12" s="6" customFormat="1" ht="16.5" x14ac:dyDescent="0.25">
      <c r="B5" s="7">
        <v>2</v>
      </c>
      <c r="C5" s="7" t="s">
        <v>52</v>
      </c>
      <c r="D5" s="57" t="s">
        <v>106</v>
      </c>
      <c r="E5" s="7" t="s">
        <v>109</v>
      </c>
      <c r="F5" s="7" t="s">
        <v>105</v>
      </c>
      <c r="G5" s="54">
        <v>0.11</v>
      </c>
      <c r="H5" s="55">
        <v>45292</v>
      </c>
      <c r="I5" s="56">
        <f>2.5</f>
        <v>2.5</v>
      </c>
      <c r="J5" s="56">
        <f>I5</f>
        <v>2.5</v>
      </c>
      <c r="K5" s="50">
        <f t="shared" ref="K5:K7" si="0">I5-J5</f>
        <v>0</v>
      </c>
      <c r="L5" s="56">
        <v>1.7999999999999998</v>
      </c>
    </row>
    <row r="6" spans="2:12" s="44" customFormat="1" ht="40.5" x14ac:dyDescent="0.2">
      <c r="B6" s="91">
        <v>3</v>
      </c>
      <c r="C6" s="91" t="s">
        <v>96</v>
      </c>
      <c r="D6" s="57" t="s">
        <v>107</v>
      </c>
      <c r="E6" s="91" t="s">
        <v>110</v>
      </c>
      <c r="F6" s="92" t="s">
        <v>136</v>
      </c>
      <c r="G6" s="54">
        <v>0.16</v>
      </c>
      <c r="H6" s="58">
        <v>45536</v>
      </c>
      <c r="I6" s="56">
        <v>10</v>
      </c>
      <c r="J6" s="56">
        <v>10</v>
      </c>
      <c r="K6" s="93">
        <f t="shared" si="0"/>
        <v>0</v>
      </c>
      <c r="L6" s="56">
        <v>10</v>
      </c>
    </row>
    <row r="7" spans="2:12" s="6" customFormat="1" ht="16.5" x14ac:dyDescent="0.25">
      <c r="B7" s="7">
        <v>4</v>
      </c>
      <c r="C7" s="7" t="s">
        <v>50</v>
      </c>
      <c r="D7" s="83" t="s">
        <v>125</v>
      </c>
      <c r="E7" s="7" t="s">
        <v>108</v>
      </c>
      <c r="F7" s="7" t="s">
        <v>111</v>
      </c>
      <c r="G7" s="54">
        <v>0.1</v>
      </c>
      <c r="H7" s="59">
        <v>44197</v>
      </c>
      <c r="I7" s="60">
        <v>0.5</v>
      </c>
      <c r="J7" s="60">
        <v>0.5</v>
      </c>
      <c r="K7" s="50">
        <f t="shared" si="0"/>
        <v>0</v>
      </c>
      <c r="L7" s="56">
        <v>0.25</v>
      </c>
    </row>
    <row r="8" spans="2:12" s="6" customFormat="1" ht="15" x14ac:dyDescent="0.25">
      <c r="B8" s="43"/>
      <c r="C8" s="43"/>
      <c r="D8" s="43"/>
      <c r="E8" s="43"/>
      <c r="F8" s="43"/>
      <c r="G8" s="43"/>
      <c r="H8" s="43"/>
      <c r="I8" s="51">
        <f>SUM(I4:I7)</f>
        <v>30</v>
      </c>
      <c r="J8" s="51">
        <f>SUM(J4:J7)</f>
        <v>30</v>
      </c>
      <c r="K8" s="51">
        <f>SUM(K4:K7)</f>
        <v>0</v>
      </c>
      <c r="L8" s="51">
        <f>SUM(L4:L7)</f>
        <v>12.68</v>
      </c>
    </row>
    <row r="9" spans="2:12" ht="15" x14ac:dyDescent="0.25"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Group Details</vt:lpstr>
      <vt:lpstr>Completed projects</vt:lpstr>
      <vt:lpstr>Ongoing projects</vt:lpstr>
      <vt:lpstr>Upcoming</vt:lpstr>
      <vt:lpstr>Land Bank</vt:lpstr>
      <vt:lpstr>Debt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Agrawal     / /ICICIHFC/BLR</dc:creator>
  <cp:lastModifiedBy>Prakash</cp:lastModifiedBy>
  <dcterms:created xsi:type="dcterms:W3CDTF">2022-11-22T12:04:05Z</dcterms:created>
  <dcterms:modified xsi:type="dcterms:W3CDTF">2025-01-22T14:10:38Z</dcterms:modified>
</cp:coreProperties>
</file>